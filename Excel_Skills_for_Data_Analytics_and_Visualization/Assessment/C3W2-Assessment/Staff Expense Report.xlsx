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Excel Skills for Data Analytics and Visualization\Assessment\C3W2-Assessment\"/>
    </mc:Choice>
  </mc:AlternateContent>
  <xr:revisionPtr revIDLastSave="0" documentId="13_ncr:1_{67DBF40F-68D2-4C11-BF9E-623F30C38E3A}" xr6:coauthVersionLast="47" xr6:coauthVersionMax="47" xr10:uidLastSave="{00000000-0000-0000-0000-000000000000}"/>
  <bookViews>
    <workbookView xWindow="825" yWindow="1275" windowWidth="22020" windowHeight="14610" activeTab="3" xr2:uid="{6ACAAEE7-617B-476A-ABAD-1577B04A621F}"/>
  </bookViews>
  <sheets>
    <sheet name="Staff" sheetId="2" r:id="rId1"/>
    <sheet name="Expenses by Month" sheetId="7" r:id="rId2"/>
    <sheet name="Expense by Category" sheetId="10" r:id="rId3"/>
    <sheet name="Expenses" sheetId="3" r:id="rId4"/>
    <sheet name="Staff Expense Codes" sheetId="1" r:id="rId5"/>
  </sheets>
  <definedNames>
    <definedName name="ExternalData_1" localSheetId="3" hidden="1">Expenses!$A$3:$F$50</definedName>
  </definedName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49788-49E5-4E04-88AE-0DA12C9CA17D}" keepAlive="1" name="Query - Approvl Required" description="Connection to the 'Approvl Required' query in the workbook." type="5" refreshedVersion="0" background="1">
    <dbPr connection="Provider=Microsoft.Mashup.OleDb.1;Data Source=$Workbook$;Location=&quot;Approvl Required&quot;;Extended Properties=&quot;&quot;" command="SELECT * FROM [Approvl Required]"/>
  </connection>
  <connection id="2" xr16:uid="{58BDF682-2425-4392-91C4-8FDDF2474AF5}" keepAlive="1" name="Query - Dennis" description="Connection to the 'Dennis' query in the workbook." type="5" refreshedVersion="0" background="1">
    <dbPr connection="Provider=Microsoft.Mashup.OleDb.1;Data Source=$Workbook$;Location=Dennis;Extended Properties=&quot;&quot;" command="SELECT * FROM [Dennis]"/>
  </connection>
  <connection id="3" xr16:uid="{05994C65-E56A-4209-AD4C-702845D9BC2F}" keepAlive="1" name="Query - Expense_Codes" description="Connection to the 'Expense_Codes' query in the workbook." type="5" refreshedVersion="0" background="1">
    <dbPr connection="Provider=Microsoft.Mashup.OleDb.1;Data Source=$Workbook$;Location=Expense_Codes;Extended Properties=&quot;&quot;" command="SELECT * FROM [Expense_Codes]"/>
  </connection>
  <connection id="4" xr16:uid="{A26593F4-9EE5-405E-AFF3-DEED961638F5}" keepAlive="1" name="Query - Expenses" description="Connection to the 'Expenses' query in the workbook." type="5" refreshedVersion="8" background="1" saveData="1">
    <dbPr connection="Provider=Microsoft.Mashup.OleDb.1;Data Source=$Workbook$;Location=Expenses;Extended Properties=&quot;&quot;" command="SELECT * FROM [Expenses]"/>
  </connection>
  <connection id="5" xr16:uid="{95AECFE1-C2FB-429D-B3B4-CD940A99A702}" keepAlive="1" name="Query - Expenses Needing Approval" description="Connection to the 'Expenses Needing Approval' query in the workbook." type="5" refreshedVersion="0" background="1">
    <dbPr connection="Provider=Microsoft.Mashup.OleDb.1;Data Source=$Workbook$;Location=&quot;Expenses Needing Approval&quot;;Extended Properties=&quot;&quot;" command="SELECT * FROM [Expenses Needing Approval]"/>
  </connection>
  <connection id="6" xr16:uid="{554BACC4-410D-4EBF-AD22-920063BF67F6}" keepAlive="1" name="Query - Nandini" description="Connection to the 'Nandini' query in the workbook." type="5" refreshedVersion="0" background="1">
    <dbPr connection="Provider=Microsoft.Mashup.OleDb.1;Data Source=$Workbook$;Location=Nandini;Extended Properties=&quot;&quot;" command="SELECT * FROM [Nandini]"/>
  </connection>
  <connection id="7" xr16:uid="{0658756D-EE24-4541-9978-78E3E5C367F9}" keepAlive="1" name="Query - Seyed" description="Connection to the 'Seyed' query in the workbook." type="5" refreshedVersion="0" background="1">
    <dbPr connection="Provider=Microsoft.Mashup.OleDb.1;Data Source=$Workbook$;Location=Seyed;Extended Properties=&quot;&quot;" command="SELECT * FROM [Seyed]"/>
  </connection>
  <connection id="8" xr16:uid="{2C3EEB3D-992A-476E-8EDA-F69397176EE6}" keepAlive="1" name="Query - Staff" description="Connection to the 'Staff' query in the workbook." type="5" refreshedVersion="0" background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<sst xmlns="http://schemas.openxmlformats.org/spreadsheetml/2006/main" count="281" uniqueCount="56">
  <si>
    <t>Miles Reimbursement</t>
  </si>
  <si>
    <t>Parking And Tolls</t>
  </si>
  <si>
    <t>Auto Rental</t>
  </si>
  <si>
    <t>Taxi</t>
  </si>
  <si>
    <t>Other (Rail or Bus)</t>
  </si>
  <si>
    <t>Airfare</t>
  </si>
  <si>
    <t>Lodging</t>
  </si>
  <si>
    <t>Breakfast</t>
  </si>
  <si>
    <t>Lunch</t>
  </si>
  <si>
    <t>Dinner</t>
  </si>
  <si>
    <t>Stationery</t>
  </si>
  <si>
    <t>Equipment</t>
  </si>
  <si>
    <t>Phone, Fax, Internet</t>
  </si>
  <si>
    <t>Hardware</t>
  </si>
  <si>
    <t>Software</t>
  </si>
  <si>
    <t>Tips</t>
  </si>
  <si>
    <t>Other</t>
  </si>
  <si>
    <t>Transportation</t>
  </si>
  <si>
    <t>Lodging and Meals</t>
  </si>
  <si>
    <t>Office</t>
  </si>
  <si>
    <t>Miscellaneous</t>
  </si>
  <si>
    <t>Expense Type</t>
  </si>
  <si>
    <t>Expense Category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</si>
  <si>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</si>
  <si>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</si>
  <si>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</si>
  <si>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</si>
  <si>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</si>
  <si>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</si>
  <si>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</si>
  <si>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</si>
  <si>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</si>
  <si>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</si>
  <si>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</si>
  <si>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</si>
  <si>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</si>
  <si>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</si>
  <si>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</si>
  <si>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</si>
  <si>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</si>
  <si>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Expense Code</t>
  </si>
  <si>
    <t>Staff Expense Codes</t>
  </si>
  <si>
    <t>Staff</t>
  </si>
  <si>
    <t>Staff Expenses</t>
  </si>
  <si>
    <t>CODE</t>
  </si>
  <si>
    <t>JULY</t>
  </si>
  <si>
    <t>AUGUST</t>
  </si>
  <si>
    <t>SEPTEMBER</t>
  </si>
  <si>
    <t>EXPENSE TYPE</t>
  </si>
  <si>
    <t>STAFF ID</t>
  </si>
  <si>
    <t>Month</t>
  </si>
  <si>
    <t>Amount</t>
  </si>
  <si>
    <t>Row Labels</t>
  </si>
  <si>
    <t>Grand Total</t>
  </si>
  <si>
    <t>Sum of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</si>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</sst>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Title" xfId="1" builtinId="1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Johns" refreshedDate="46005.591972337963" createdVersion="8" refreshedVersion="8" minRefreshableVersion="3" recordCount="47" xr:uid="{37A538D0-1F8C-44C8-A86A-594FCF499AB4}">
  <cacheSource type="worksheet">
    <worksheetSource name="Expenses"/>
  </cacheSource>
  <cacheFields count="6">
    <cacheField name="EXPENSE TYPE" numFmtId="0">
      <sharedItems count="15">
        <s v="Miles Reimbursement"/>
        <s v="Parking And Tolls"/>
        <s v="Taxi"/>
        <s v="Lunch"/>
        <s v="Other"/>
        <s v="Phone, Fax, Internet"/>
        <s v="Airfare"/>
        <s v="Lodging"/>
        <s v="Dinner"/>
        <s v="Stationery"/>
        <s v="Equipment"/>
        <s v="Hardware"/>
        <s v="Software"/>
        <s v="Tips"/>
        <s v="Other (Rail or Bus)"/>
      </sharedItems>
    </cacheField>
    <cacheField name="CODE" numFmtId="0">
      <sharedItems/>
    </cacheField>
    <cacheField name="STAFF ID" numFmtId="0">
      <sharedItems containsSemiMixedTypes="0" containsString="0" containsNumber="1" containsInteger="1" minValue="105" maxValue="112"/>
    </cacheField>
    <cacheField name="Month" numFmtId="0">
      <sharedItems count="3">
        <s v="JULY"/>
        <s v="AUGUST"/>
        <s v="SEPTEMBER"/>
      </sharedItems>
    </cacheField>
    <cacheField name="Amount" numFmtId="0">
      <sharedItems containsSemiMixedTypes="0" containsString="0" containsNumber="1" minValue="5.95" maxValue="3599"/>
    </cacheField>
    <cacheField name="Expense Category" numFmtId="0">
      <sharedItems count="4">
        <s v="Transportation"/>
        <s v="Lodging and Meals"/>
        <s v="Miscellaneous"/>
        <s v="Off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E109"/>
    <n v="112"/>
    <x v="0"/>
    <n v="214.4"/>
    <x v="0"/>
  </r>
  <r>
    <x v="0"/>
    <s v="E109"/>
    <n v="112"/>
    <x v="1"/>
    <n v="235.84"/>
    <x v="0"/>
  </r>
  <r>
    <x v="0"/>
    <s v="E109"/>
    <n v="112"/>
    <x v="2"/>
    <n v="289.44"/>
    <x v="0"/>
  </r>
  <r>
    <x v="0"/>
    <s v="E109"/>
    <n v="110"/>
    <x v="0"/>
    <n v="147.4"/>
    <x v="0"/>
  </r>
  <r>
    <x v="0"/>
    <s v="E109"/>
    <n v="110"/>
    <x v="1"/>
    <n v="117.92"/>
    <x v="0"/>
  </r>
  <r>
    <x v="0"/>
    <s v="E109"/>
    <n v="110"/>
    <x v="2"/>
    <n v="147.4"/>
    <x v="0"/>
  </r>
  <r>
    <x v="1"/>
    <s v="E112"/>
    <n v="112"/>
    <x v="0"/>
    <n v="50"/>
    <x v="0"/>
  </r>
  <r>
    <x v="1"/>
    <s v="E112"/>
    <n v="112"/>
    <x v="1"/>
    <n v="50"/>
    <x v="0"/>
  </r>
  <r>
    <x v="1"/>
    <s v="E112"/>
    <n v="112"/>
    <x v="2"/>
    <n v="50"/>
    <x v="0"/>
  </r>
  <r>
    <x v="2"/>
    <s v="E116"/>
    <n v="112"/>
    <x v="0"/>
    <n v="23.43"/>
    <x v="0"/>
  </r>
  <r>
    <x v="2"/>
    <s v="E116"/>
    <n v="112"/>
    <x v="2"/>
    <n v="5.95"/>
    <x v="0"/>
  </r>
  <r>
    <x v="3"/>
    <s v="E108"/>
    <n v="112"/>
    <x v="0"/>
    <n v="349.56"/>
    <x v="1"/>
  </r>
  <r>
    <x v="3"/>
    <s v="E108"/>
    <n v="112"/>
    <x v="2"/>
    <n v="129"/>
    <x v="1"/>
  </r>
  <r>
    <x v="4"/>
    <s v="E110"/>
    <n v="112"/>
    <x v="1"/>
    <n v="85.48"/>
    <x v="2"/>
  </r>
  <r>
    <x v="4"/>
    <s v="E110"/>
    <n v="112"/>
    <x v="2"/>
    <n v="42"/>
    <x v="2"/>
  </r>
  <r>
    <x v="5"/>
    <s v="E113"/>
    <n v="112"/>
    <x v="0"/>
    <n v="89.6"/>
    <x v="3"/>
  </r>
  <r>
    <x v="5"/>
    <s v="E113"/>
    <n v="112"/>
    <x v="1"/>
    <n v="89.6"/>
    <x v="3"/>
  </r>
  <r>
    <x v="5"/>
    <s v="E113"/>
    <n v="112"/>
    <x v="2"/>
    <n v="89.6"/>
    <x v="3"/>
  </r>
  <r>
    <x v="1"/>
    <s v="E112"/>
    <n v="110"/>
    <x v="0"/>
    <n v="33"/>
    <x v="0"/>
  </r>
  <r>
    <x v="1"/>
    <s v="E112"/>
    <n v="110"/>
    <x v="1"/>
    <n v="26.4"/>
    <x v="0"/>
  </r>
  <r>
    <x v="1"/>
    <s v="E112"/>
    <n v="110"/>
    <x v="2"/>
    <n v="33"/>
    <x v="0"/>
  </r>
  <r>
    <x v="2"/>
    <s v="E116"/>
    <n v="110"/>
    <x v="1"/>
    <n v="78"/>
    <x v="0"/>
  </r>
  <r>
    <x v="6"/>
    <s v="E101"/>
    <n v="110"/>
    <x v="1"/>
    <n v="560"/>
    <x v="0"/>
  </r>
  <r>
    <x v="7"/>
    <s v="E107"/>
    <n v="110"/>
    <x v="1"/>
    <n v="695"/>
    <x v="1"/>
  </r>
  <r>
    <x v="3"/>
    <s v="E108"/>
    <n v="110"/>
    <x v="1"/>
    <n v="68.67"/>
    <x v="1"/>
  </r>
  <r>
    <x v="8"/>
    <s v="E104"/>
    <n v="110"/>
    <x v="1"/>
    <n v="145.80000000000001"/>
    <x v="1"/>
  </r>
  <r>
    <x v="9"/>
    <s v="E115"/>
    <n v="110"/>
    <x v="0"/>
    <n v="158.96"/>
    <x v="3"/>
  </r>
  <r>
    <x v="9"/>
    <s v="E115"/>
    <n v="110"/>
    <x v="2"/>
    <n v="78.98"/>
    <x v="3"/>
  </r>
  <r>
    <x v="10"/>
    <s v="E105"/>
    <n v="110"/>
    <x v="0"/>
    <n v="2690"/>
    <x v="3"/>
  </r>
  <r>
    <x v="11"/>
    <s v="E106"/>
    <n v="110"/>
    <x v="1"/>
    <n v="3599"/>
    <x v="3"/>
  </r>
  <r>
    <x v="12"/>
    <s v="E114"/>
    <n v="110"/>
    <x v="0"/>
    <n v="109"/>
    <x v="3"/>
  </r>
  <r>
    <x v="12"/>
    <s v="E114"/>
    <n v="110"/>
    <x v="1"/>
    <n v="109"/>
    <x v="3"/>
  </r>
  <r>
    <x v="12"/>
    <s v="E114"/>
    <n v="110"/>
    <x v="2"/>
    <n v="109"/>
    <x v="3"/>
  </r>
  <r>
    <x v="13"/>
    <s v="E117"/>
    <n v="110"/>
    <x v="0"/>
    <n v="24"/>
    <x v="2"/>
  </r>
  <r>
    <x v="4"/>
    <s v="E110"/>
    <n v="110"/>
    <x v="1"/>
    <n v="52.88"/>
    <x v="2"/>
  </r>
  <r>
    <x v="4"/>
    <s v="E110"/>
    <n v="110"/>
    <x v="2"/>
    <n v="345"/>
    <x v="2"/>
  </r>
  <r>
    <x v="14"/>
    <s v="E111"/>
    <n v="105"/>
    <x v="0"/>
    <n v="125"/>
    <x v="0"/>
  </r>
  <r>
    <x v="14"/>
    <s v="E111"/>
    <n v="105"/>
    <x v="1"/>
    <n v="125"/>
    <x v="0"/>
  </r>
  <r>
    <x v="14"/>
    <s v="E111"/>
    <n v="105"/>
    <x v="2"/>
    <n v="125"/>
    <x v="0"/>
  </r>
  <r>
    <x v="3"/>
    <s v="E108"/>
    <n v="105"/>
    <x v="2"/>
    <n v="248.95"/>
    <x v="1"/>
  </r>
  <r>
    <x v="9"/>
    <s v="E115"/>
    <n v="105"/>
    <x v="2"/>
    <n v="86.64"/>
    <x v="3"/>
  </r>
  <r>
    <x v="10"/>
    <s v="E105"/>
    <n v="105"/>
    <x v="1"/>
    <n v="52.33"/>
    <x v="3"/>
  </r>
  <r>
    <x v="10"/>
    <s v="E105"/>
    <n v="105"/>
    <x v="2"/>
    <n v="112.77"/>
    <x v="3"/>
  </r>
  <r>
    <x v="5"/>
    <s v="E113"/>
    <n v="105"/>
    <x v="0"/>
    <n v="75.900000000000006"/>
    <x v="3"/>
  </r>
  <r>
    <x v="5"/>
    <s v="E113"/>
    <n v="105"/>
    <x v="1"/>
    <n v="75.900000000000006"/>
    <x v="3"/>
  </r>
  <r>
    <x v="5"/>
    <s v="E113"/>
    <n v="105"/>
    <x v="2"/>
    <n v="75.900000000000006"/>
    <x v="3"/>
  </r>
  <r>
    <x v="13"/>
    <s v="E117"/>
    <n v="105"/>
    <x v="2"/>
    <n v="86.6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B41C4-C671-4AA7-ABD6-89CA2306D52D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1" firstDataRow="2" firstDataCol="1"/>
  <pivotFields count="6">
    <pivotField axis="axisRow" showAll="0">
      <items count="16">
        <item x="6"/>
        <item x="8"/>
        <item x="10"/>
        <item x="11"/>
        <item x="7"/>
        <item x="3"/>
        <item x="0"/>
        <item x="4"/>
        <item x="14"/>
        <item x="1"/>
        <item x="5"/>
        <item x="12"/>
        <item x="9"/>
        <item x="2"/>
        <item x="13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CA77C-C0CF-40F4-AE72-C0C06CE5BAB7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B9C1007-9202-4E85-9D09-316C08FEFFA6}" autoFormatId="16" applyNumberFormats="0" applyBorderFormats="0" applyFontFormats="0" applyPatternFormats="0" applyAlignmentFormats="0" applyWidthHeightFormats="0">
  <queryTableRefresh nextId="8">
    <queryTableFields count="6">
      <queryTableField id="1" name="EXPENSE TYPE" tableColumnId="1"/>
      <queryTableField id="2" name="CODE" tableColumnId="2"/>
      <queryTableField id="3" name="STAFF ID" tableColumnId="3"/>
      <queryTableField id="4" name="Month" tableColumnId="4"/>
      <queryTableField id="5" name="Amount" tableColumnId="5"/>
      <queryTableField id="7" name="Expense 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6520B6-8DE5-4F27-B92F-7012F5BB4C0A}" name="Expenses" displayName="Expenses" ref="A3:F50" tableType="queryTable" totalsRowShown="0">
  <autoFilter ref="A3:F50" xr:uid="{2C6520B6-8DE5-4F27-B92F-7012F5BB4C0A}"/>
  <tableColumns count="6">
    <tableColumn id="1" xr3:uid="{0DF87F9D-0CA4-4240-9649-4130DE7F39A8}" uniqueName="1" name="EXPENSE TYPE" queryTableFieldId="1" dataDxfId="3"/>
    <tableColumn id="2" xr3:uid="{53110E13-797D-4822-9AD5-99DBFB6EFC34}" uniqueName="2" name="CODE" queryTableFieldId="2" dataDxfId="2"/>
    <tableColumn id="3" xr3:uid="{45A736F0-D04C-410B-AC32-FCB351174E10}" uniqueName="3" name="STAFF ID" queryTableFieldId="3"/>
    <tableColumn id="4" xr3:uid="{AAC77834-79A9-4FB0-B76D-5D79ED8BDF4E}" uniqueName="4" name="Month" queryTableFieldId="4" dataDxfId="1"/>
    <tableColumn id="5" xr3:uid="{A57DB805-BE2C-4FB1-A0AB-1F7DEE097033}" uniqueName="5" name="Amount" queryTableFieldId="5"/>
    <tableColumn id="7" xr3:uid="{B8131F2C-7A3E-4A74-BDCB-145597A0258E}" uniqueName="7" name="Expense Category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218E6-12E6-4F11-AB4F-E67B0345B7CF}" name="Expense_Codes" displayName="Expense_Codes" ref="A3:C20" totalsRowShown="0" headerRowDxfId="4">
  <tableColumns count="3">
    <tableColumn id="1" xr3:uid="{62DDF5B7-FF4A-4870-A00F-C516C06ED420}" name="Expense Type"/>
    <tableColumn id="2" xr3:uid="{B879679F-9CE1-4111-A851-60CB3E2E5F16}" name="Expense Category"/>
    <tableColumn id="3" xr3:uid="{4593AF20-6DC9-449B-B933-934D7B99111C}" name="Expense 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B225-F4F4-4065-AD74-7CB1A1B66201}">
  <dimension ref="A1"/>
  <sheetViews>
    <sheetView workbookViewId="0">
      <selection activeCell="A3" sqref="A3"/>
    </sheetView>
  </sheetViews>
  <sheetFormatPr defaultRowHeight="15" x14ac:dyDescent="0.25"/>
  <sheetData>
    <row r="1" spans="1:1" ht="23.25" x14ac:dyDescent="0.35">
      <c r="A1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2A30-CD1E-43DB-91B4-3F27F2F2E7F7}">
  <dimension ref="A3:E20"/>
  <sheetViews>
    <sheetView workbookViewId="0">
      <selection activeCell="A3" sqref="A3"/>
    </sheetView>
  </sheetViews>
  <sheetFormatPr defaultRowHeight="15" x14ac:dyDescent="0.25"/>
  <cols>
    <col min="1" max="1" width="20.85546875" bestFit="1" customWidth="1"/>
    <col min="2" max="2" width="16.28515625" bestFit="1" customWidth="1"/>
    <col min="3" max="3" width="8.5703125" bestFit="1" customWidth="1"/>
    <col min="4" max="5" width="11.28515625" bestFit="1" customWidth="1"/>
    <col min="6" max="6" width="8.5703125" bestFit="1" customWidth="1"/>
    <col min="7" max="7" width="11.28515625" bestFit="1" customWidth="1"/>
    <col min="8" max="8" width="20.28515625" bestFit="1" customWidth="1"/>
    <col min="9" max="9" width="19.85546875" bestFit="1" customWidth="1"/>
  </cols>
  <sheetData>
    <row r="3" spans="1:5" x14ac:dyDescent="0.25">
      <c r="A3" s="4" t="s">
        <v>54</v>
      </c>
      <c r="B3" s="4" t="s">
        <v>55</v>
      </c>
    </row>
    <row r="4" spans="1:5" x14ac:dyDescent="0.25">
      <c r="A4" s="4" t="s">
        <v>52</v>
      </c>
      <c r="B4" t="s">
        <v>45</v>
      </c>
      <c r="C4" t="s">
        <v>46</v>
      </c>
      <c r="D4" t="s">
        <v>47</v>
      </c>
      <c r="E4" t="s">
        <v>53</v>
      </c>
    </row>
    <row r="5" spans="1:5" x14ac:dyDescent="0.25">
      <c r="A5" s="5" t="s">
        <v>5</v>
      </c>
      <c r="B5" s="3"/>
      <c r="C5" s="3">
        <v>560</v>
      </c>
      <c r="D5" s="3"/>
      <c r="E5" s="3">
        <v>560</v>
      </c>
    </row>
    <row r="6" spans="1:5" x14ac:dyDescent="0.25">
      <c r="A6" s="5" t="s">
        <v>9</v>
      </c>
      <c r="B6" s="3"/>
      <c r="C6" s="3">
        <v>145.80000000000001</v>
      </c>
      <c r="D6" s="3"/>
      <c r="E6" s="3">
        <v>145.80000000000001</v>
      </c>
    </row>
    <row r="7" spans="1:5" x14ac:dyDescent="0.25">
      <c r="A7" s="5" t="s">
        <v>11</v>
      </c>
      <c r="B7" s="3">
        <v>2690</v>
      </c>
      <c r="C7" s="3">
        <v>52.33</v>
      </c>
      <c r="D7" s="3">
        <v>112.77</v>
      </c>
      <c r="E7" s="3">
        <v>2855.1</v>
      </c>
    </row>
    <row r="8" spans="1:5" x14ac:dyDescent="0.25">
      <c r="A8" s="5" t="s">
        <v>13</v>
      </c>
      <c r="B8" s="3"/>
      <c r="C8" s="3">
        <v>3599</v>
      </c>
      <c r="D8" s="3"/>
      <c r="E8" s="3">
        <v>3599</v>
      </c>
    </row>
    <row r="9" spans="1:5" x14ac:dyDescent="0.25">
      <c r="A9" s="5" t="s">
        <v>6</v>
      </c>
      <c r="B9" s="3"/>
      <c r="C9" s="3">
        <v>695</v>
      </c>
      <c r="D9" s="3"/>
      <c r="E9" s="3">
        <v>695</v>
      </c>
    </row>
    <row r="10" spans="1:5" x14ac:dyDescent="0.25">
      <c r="A10" s="5" t="s">
        <v>8</v>
      </c>
      <c r="B10" s="3">
        <v>349.56</v>
      </c>
      <c r="C10" s="3">
        <v>68.67</v>
      </c>
      <c r="D10" s="3">
        <v>377.95</v>
      </c>
      <c r="E10" s="3">
        <v>796.18000000000006</v>
      </c>
    </row>
    <row r="11" spans="1:5" x14ac:dyDescent="0.25">
      <c r="A11" s="5" t="s">
        <v>0</v>
      </c>
      <c r="B11" s="3">
        <v>361.8</v>
      </c>
      <c r="C11" s="3">
        <v>353.76</v>
      </c>
      <c r="D11" s="3">
        <v>436.84000000000003</v>
      </c>
      <c r="E11" s="3">
        <v>1152.4000000000001</v>
      </c>
    </row>
    <row r="12" spans="1:5" x14ac:dyDescent="0.25">
      <c r="A12" s="5" t="s">
        <v>16</v>
      </c>
      <c r="B12" s="3"/>
      <c r="C12" s="3">
        <v>138.36000000000001</v>
      </c>
      <c r="D12" s="3">
        <v>387</v>
      </c>
      <c r="E12" s="3">
        <v>525.36</v>
      </c>
    </row>
    <row r="13" spans="1:5" x14ac:dyDescent="0.25">
      <c r="A13" s="5" t="s">
        <v>4</v>
      </c>
      <c r="B13" s="3">
        <v>125</v>
      </c>
      <c r="C13" s="3">
        <v>125</v>
      </c>
      <c r="D13" s="3">
        <v>125</v>
      </c>
      <c r="E13" s="3">
        <v>375</v>
      </c>
    </row>
    <row r="14" spans="1:5" x14ac:dyDescent="0.25">
      <c r="A14" s="5" t="s">
        <v>1</v>
      </c>
      <c r="B14" s="3">
        <v>83</v>
      </c>
      <c r="C14" s="3">
        <v>76.400000000000006</v>
      </c>
      <c r="D14" s="3">
        <v>83</v>
      </c>
      <c r="E14" s="3">
        <v>242.4</v>
      </c>
    </row>
    <row r="15" spans="1:5" x14ac:dyDescent="0.25">
      <c r="A15" s="5" t="s">
        <v>12</v>
      </c>
      <c r="B15" s="3">
        <v>165.5</v>
      </c>
      <c r="C15" s="3">
        <v>165.5</v>
      </c>
      <c r="D15" s="3">
        <v>165.5</v>
      </c>
      <c r="E15" s="3">
        <v>496.5</v>
      </c>
    </row>
    <row r="16" spans="1:5" x14ac:dyDescent="0.25">
      <c r="A16" s="5" t="s">
        <v>14</v>
      </c>
      <c r="B16" s="3">
        <v>109</v>
      </c>
      <c r="C16" s="3">
        <v>109</v>
      </c>
      <c r="D16" s="3">
        <v>109</v>
      </c>
      <c r="E16" s="3">
        <v>327</v>
      </c>
    </row>
    <row r="17" spans="1:5" x14ac:dyDescent="0.25">
      <c r="A17" s="5" t="s">
        <v>10</v>
      </c>
      <c r="B17" s="3">
        <v>158.96</v>
      </c>
      <c r="C17" s="3"/>
      <c r="D17" s="3">
        <v>165.62</v>
      </c>
      <c r="E17" s="3">
        <v>324.58000000000004</v>
      </c>
    </row>
    <row r="18" spans="1:5" x14ac:dyDescent="0.25">
      <c r="A18" s="5" t="s">
        <v>3</v>
      </c>
      <c r="B18" s="3">
        <v>23.43</v>
      </c>
      <c r="C18" s="3">
        <v>78</v>
      </c>
      <c r="D18" s="3">
        <v>5.95</v>
      </c>
      <c r="E18" s="3">
        <v>107.38000000000001</v>
      </c>
    </row>
    <row r="19" spans="1:5" x14ac:dyDescent="0.25">
      <c r="A19" s="5" t="s">
        <v>15</v>
      </c>
      <c r="B19" s="3">
        <v>24</v>
      </c>
      <c r="C19" s="3"/>
      <c r="D19" s="3">
        <v>86.64</v>
      </c>
      <c r="E19" s="3">
        <v>110.64</v>
      </c>
    </row>
    <row r="20" spans="1:5" x14ac:dyDescent="0.25">
      <c r="A20" s="5" t="s">
        <v>53</v>
      </c>
      <c r="B20" s="3">
        <v>4090.25</v>
      </c>
      <c r="C20" s="3">
        <v>6166.82</v>
      </c>
      <c r="D20" s="3">
        <v>2055.27</v>
      </c>
      <c r="E20" s="3">
        <v>12312.339999999998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954A-402D-4AF7-8E26-DDF03E6C5326}">
  <dimension ref="A3:B8"/>
  <sheetViews>
    <sheetView workbookViewId="0">
      <selection activeCell="A3" sqref="A3"/>
    </sheetView>
  </sheetViews>
  <sheetFormatPr defaultRowHeight="15" x14ac:dyDescent="0.25"/>
  <cols>
    <col min="1" max="1" width="17.5703125" bestFit="1" customWidth="1"/>
    <col min="2" max="2" width="14.85546875" bestFit="1" customWidth="1"/>
  </cols>
  <sheetData>
    <row r="3" spans="1:2" x14ac:dyDescent="0.25">
      <c r="A3" s="4" t="s">
        <v>52</v>
      </c>
      <c r="B3" t="s">
        <v>54</v>
      </c>
    </row>
    <row r="4" spans="1:2" x14ac:dyDescent="0.25">
      <c r="A4" s="5" t="s">
        <v>18</v>
      </c>
      <c r="B4" s="3">
        <v>1636.98</v>
      </c>
    </row>
    <row r="5" spans="1:2" x14ac:dyDescent="0.25">
      <c r="A5" s="5" t="s">
        <v>20</v>
      </c>
      <c r="B5" s="3">
        <v>636</v>
      </c>
    </row>
    <row r="6" spans="1:2" x14ac:dyDescent="0.25">
      <c r="A6" s="5" t="s">
        <v>19</v>
      </c>
      <c r="B6" s="3">
        <v>7602.1799999999994</v>
      </c>
    </row>
    <row r="7" spans="1:2" x14ac:dyDescent="0.25">
      <c r="A7" s="5" t="s">
        <v>17</v>
      </c>
      <c r="B7" s="3">
        <v>2437.1800000000003</v>
      </c>
    </row>
    <row r="8" spans="1:2" x14ac:dyDescent="0.25">
      <c r="A8" s="5" t="s">
        <v>53</v>
      </c>
      <c r="B8" s="3">
        <v>12312.34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BC7E-01C7-4085-966E-7449E123715A}">
  <dimension ref="A1:F50"/>
  <sheetViews>
    <sheetView tabSelected="1" workbookViewId="0">
      <selection activeCell="G20" sqref="G20"/>
    </sheetView>
  </sheetViews>
  <sheetFormatPr defaultRowHeight="15" x14ac:dyDescent="0.25"/>
  <cols>
    <col min="1" max="1" width="20.85546875" bestFit="1" customWidth="1"/>
    <col min="2" max="2" width="8.140625" bestFit="1" customWidth="1"/>
    <col min="3" max="3" width="10.85546875" bestFit="1" customWidth="1"/>
    <col min="4" max="4" width="11.140625" bestFit="1" customWidth="1"/>
    <col min="5" max="5" width="10.42578125" bestFit="1" customWidth="1"/>
    <col min="6" max="6" width="19.140625" bestFit="1" customWidth="1"/>
    <col min="7" max="7" width="34.140625" bestFit="1" customWidth="1"/>
  </cols>
  <sheetData>
    <row r="1" spans="1:6" ht="23.25" x14ac:dyDescent="0.35">
      <c r="A1" s="1" t="s">
        <v>43</v>
      </c>
    </row>
    <row r="3" spans="1:6" x14ac:dyDescent="0.25">
      <c r="A3" t="s">
        <v>48</v>
      </c>
      <c r="B3" t="s">
        <v>44</v>
      </c>
      <c r="C3" t="s">
        <v>49</v>
      </c>
      <c r="D3" t="s">
        <v>50</v>
      </c>
      <c r="E3" t="s">
        <v>51</v>
      </c>
      <c r="F3" t="s">
        <v>22</v>
      </c>
    </row>
    <row r="4" spans="1:6" x14ac:dyDescent="0.25">
      <c r="A4" s="3" t="s">
        <v>0</v>
      </c>
      <c r="B4" s="3" t="s">
        <v>31</v>
      </c>
      <c r="C4">
        <v>112</v>
      </c>
      <c r="D4" s="3" t="s">
        <v>45</v>
      </c>
      <c r="E4">
        <v>214.4</v>
      </c>
      <c r="F4" s="3" t="s">
        <v>17</v>
      </c>
    </row>
    <row r="5" spans="1:6" x14ac:dyDescent="0.25">
      <c r="A5" s="3" t="s">
        <v>0</v>
      </c>
      <c r="B5" s="3" t="s">
        <v>31</v>
      </c>
      <c r="C5">
        <v>112</v>
      </c>
      <c r="D5" s="3" t="s">
        <v>46</v>
      </c>
      <c r="E5">
        <v>235.84</v>
      </c>
      <c r="F5" s="3" t="s">
        <v>17</v>
      </c>
    </row>
    <row r="6" spans="1:6" x14ac:dyDescent="0.25">
      <c r="A6" s="3" t="s">
        <v>0</v>
      </c>
      <c r="B6" s="3" t="s">
        <v>31</v>
      </c>
      <c r="C6">
        <v>112</v>
      </c>
      <c r="D6" s="3" t="s">
        <v>47</v>
      </c>
      <c r="E6">
        <v>289.44</v>
      </c>
      <c r="F6" s="3" t="s">
        <v>17</v>
      </c>
    </row>
    <row r="7" spans="1:6" x14ac:dyDescent="0.25">
      <c r="A7" s="3" t="s">
        <v>0</v>
      </c>
      <c r="B7" s="3" t="s">
        <v>31</v>
      </c>
      <c r="C7">
        <v>110</v>
      </c>
      <c r="D7" s="3" t="s">
        <v>45</v>
      </c>
      <c r="E7">
        <v>147.4</v>
      </c>
      <c r="F7" s="3" t="s">
        <v>17</v>
      </c>
    </row>
    <row r="8" spans="1:6" x14ac:dyDescent="0.25">
      <c r="A8" s="3" t="s">
        <v>0</v>
      </c>
      <c r="B8" s="3" t="s">
        <v>31</v>
      </c>
      <c r="C8">
        <v>110</v>
      </c>
      <c r="D8" s="3" t="s">
        <v>46</v>
      </c>
      <c r="E8">
        <v>117.92</v>
      </c>
      <c r="F8" s="3" t="s">
        <v>17</v>
      </c>
    </row>
    <row r="9" spans="1:6" x14ac:dyDescent="0.25">
      <c r="A9" s="3" t="s">
        <v>0</v>
      </c>
      <c r="B9" s="3" t="s">
        <v>31</v>
      </c>
      <c r="C9">
        <v>110</v>
      </c>
      <c r="D9" s="3" t="s">
        <v>47</v>
      </c>
      <c r="E9">
        <v>147.4</v>
      </c>
      <c r="F9" s="3" t="s">
        <v>17</v>
      </c>
    </row>
    <row r="10" spans="1:6" x14ac:dyDescent="0.25">
      <c r="A10" s="3" t="s">
        <v>1</v>
      </c>
      <c r="B10" s="3" t="s">
        <v>34</v>
      </c>
      <c r="C10">
        <v>112</v>
      </c>
      <c r="D10" s="3" t="s">
        <v>45</v>
      </c>
      <c r="E10">
        <v>50</v>
      </c>
      <c r="F10" s="3" t="s">
        <v>17</v>
      </c>
    </row>
    <row r="11" spans="1:6" x14ac:dyDescent="0.25">
      <c r="A11" s="3" t="s">
        <v>1</v>
      </c>
      <c r="B11" s="3" t="s">
        <v>34</v>
      </c>
      <c r="C11">
        <v>112</v>
      </c>
      <c r="D11" s="3" t="s">
        <v>46</v>
      </c>
      <c r="E11">
        <v>50</v>
      </c>
      <c r="F11" s="3" t="s">
        <v>17</v>
      </c>
    </row>
    <row r="12" spans="1:6" x14ac:dyDescent="0.25">
      <c r="A12" s="3" t="s">
        <v>1</v>
      </c>
      <c r="B12" s="3" t="s">
        <v>34</v>
      </c>
      <c r="C12">
        <v>112</v>
      </c>
      <c r="D12" s="3" t="s">
        <v>47</v>
      </c>
      <c r="E12">
        <v>50</v>
      </c>
      <c r="F12" s="3" t="s">
        <v>17</v>
      </c>
    </row>
    <row r="13" spans="1:6" x14ac:dyDescent="0.25">
      <c r="A13" s="3" t="s">
        <v>3</v>
      </c>
      <c r="B13" s="3" t="s">
        <v>38</v>
      </c>
      <c r="C13">
        <v>112</v>
      </c>
      <c r="D13" s="3" t="s">
        <v>45</v>
      </c>
      <c r="E13">
        <v>23.43</v>
      </c>
      <c r="F13" s="3" t="s">
        <v>17</v>
      </c>
    </row>
    <row r="14" spans="1:6" x14ac:dyDescent="0.25">
      <c r="A14" s="3" t="s">
        <v>3</v>
      </c>
      <c r="B14" s="3" t="s">
        <v>38</v>
      </c>
      <c r="C14">
        <v>112</v>
      </c>
      <c r="D14" s="3" t="s">
        <v>47</v>
      </c>
      <c r="E14">
        <v>5.95</v>
      </c>
      <c r="F14" s="3" t="s">
        <v>17</v>
      </c>
    </row>
    <row r="15" spans="1:6" x14ac:dyDescent="0.25">
      <c r="A15" s="3" t="s">
        <v>8</v>
      </c>
      <c r="B15" s="3" t="s">
        <v>30</v>
      </c>
      <c r="C15">
        <v>112</v>
      </c>
      <c r="D15" s="3" t="s">
        <v>45</v>
      </c>
      <c r="E15">
        <v>349.56</v>
      </c>
      <c r="F15" s="3" t="s">
        <v>18</v>
      </c>
    </row>
    <row r="16" spans="1:6" x14ac:dyDescent="0.25">
      <c r="A16" s="3" t="s">
        <v>8</v>
      </c>
      <c r="B16" s="3" t="s">
        <v>30</v>
      </c>
      <c r="C16">
        <v>112</v>
      </c>
      <c r="D16" s="3" t="s">
        <v>47</v>
      </c>
      <c r="E16">
        <v>129</v>
      </c>
      <c r="F16" s="3" t="s">
        <v>18</v>
      </c>
    </row>
    <row r="17" spans="1:6" x14ac:dyDescent="0.25">
      <c r="A17" s="3" t="s">
        <v>16</v>
      </c>
      <c r="B17" s="3" t="s">
        <v>32</v>
      </c>
      <c r="C17">
        <v>112</v>
      </c>
      <c r="D17" s="3" t="s">
        <v>46</v>
      </c>
      <c r="E17">
        <v>85.48</v>
      </c>
      <c r="F17" s="3" t="s">
        <v>20</v>
      </c>
    </row>
    <row r="18" spans="1:6" x14ac:dyDescent="0.25">
      <c r="A18" s="3" t="s">
        <v>16</v>
      </c>
      <c r="B18" s="3" t="s">
        <v>32</v>
      </c>
      <c r="C18">
        <v>112</v>
      </c>
      <c r="D18" s="3" t="s">
        <v>47</v>
      </c>
      <c r="E18">
        <v>42</v>
      </c>
      <c r="F18" s="3" t="s">
        <v>20</v>
      </c>
    </row>
    <row r="19" spans="1:6" x14ac:dyDescent="0.25">
      <c r="A19" s="3" t="s">
        <v>12</v>
      </c>
      <c r="B19" s="3" t="s">
        <v>35</v>
      </c>
      <c r="C19">
        <v>112</v>
      </c>
      <c r="D19" s="3" t="s">
        <v>45</v>
      </c>
      <c r="E19">
        <v>89.6</v>
      </c>
      <c r="F19" s="3" t="s">
        <v>19</v>
      </c>
    </row>
    <row r="20" spans="1:6" x14ac:dyDescent="0.25">
      <c r="A20" s="3" t="s">
        <v>12</v>
      </c>
      <c r="B20" s="3" t="s">
        <v>35</v>
      </c>
      <c r="C20">
        <v>112</v>
      </c>
      <c r="D20" s="3" t="s">
        <v>46</v>
      </c>
      <c r="E20">
        <v>89.6</v>
      </c>
      <c r="F20" s="3" t="s">
        <v>19</v>
      </c>
    </row>
    <row r="21" spans="1:6" x14ac:dyDescent="0.25">
      <c r="A21" s="3" t="s">
        <v>12</v>
      </c>
      <c r="B21" s="3" t="s">
        <v>35</v>
      </c>
      <c r="C21">
        <v>112</v>
      </c>
      <c r="D21" s="3" t="s">
        <v>47</v>
      </c>
      <c r="E21">
        <v>89.6</v>
      </c>
      <c r="F21" s="3" t="s">
        <v>19</v>
      </c>
    </row>
    <row r="22" spans="1:6" x14ac:dyDescent="0.25">
      <c r="A22" s="3" t="s">
        <v>1</v>
      </c>
      <c r="B22" s="3" t="s">
        <v>34</v>
      </c>
      <c r="C22">
        <v>110</v>
      </c>
      <c r="D22" s="3" t="s">
        <v>45</v>
      </c>
      <c r="E22">
        <v>33</v>
      </c>
      <c r="F22" s="3" t="s">
        <v>17</v>
      </c>
    </row>
    <row r="23" spans="1:6" x14ac:dyDescent="0.25">
      <c r="A23" s="3" t="s">
        <v>1</v>
      </c>
      <c r="B23" s="3" t="s">
        <v>34</v>
      </c>
      <c r="C23">
        <v>110</v>
      </c>
      <c r="D23" s="3" t="s">
        <v>46</v>
      </c>
      <c r="E23">
        <v>26.4</v>
      </c>
      <c r="F23" s="3" t="s">
        <v>17</v>
      </c>
    </row>
    <row r="24" spans="1:6" x14ac:dyDescent="0.25">
      <c r="A24" s="3" t="s">
        <v>1</v>
      </c>
      <c r="B24" s="3" t="s">
        <v>34</v>
      </c>
      <c r="C24">
        <v>110</v>
      </c>
      <c r="D24" s="3" t="s">
        <v>47</v>
      </c>
      <c r="E24">
        <v>33</v>
      </c>
      <c r="F24" s="3" t="s">
        <v>17</v>
      </c>
    </row>
    <row r="25" spans="1:6" x14ac:dyDescent="0.25">
      <c r="A25" s="3" t="s">
        <v>3</v>
      </c>
      <c r="B25" s="3" t="s">
        <v>38</v>
      </c>
      <c r="C25">
        <v>110</v>
      </c>
      <c r="D25" s="3" t="s">
        <v>46</v>
      </c>
      <c r="E25">
        <v>78</v>
      </c>
      <c r="F25" s="3" t="s">
        <v>17</v>
      </c>
    </row>
    <row r="26" spans="1:6" x14ac:dyDescent="0.25">
      <c r="A26" s="3" t="s">
        <v>5</v>
      </c>
      <c r="B26" s="3" t="s">
        <v>23</v>
      </c>
      <c r="C26">
        <v>110</v>
      </c>
      <c r="D26" s="3" t="s">
        <v>46</v>
      </c>
      <c r="E26">
        <v>560</v>
      </c>
      <c r="F26" s="3" t="s">
        <v>17</v>
      </c>
    </row>
    <row r="27" spans="1:6" x14ac:dyDescent="0.25">
      <c r="A27" s="3" t="s">
        <v>6</v>
      </c>
      <c r="B27" s="3" t="s">
        <v>29</v>
      </c>
      <c r="C27">
        <v>110</v>
      </c>
      <c r="D27" s="3" t="s">
        <v>46</v>
      </c>
      <c r="E27">
        <v>695</v>
      </c>
      <c r="F27" s="3" t="s">
        <v>18</v>
      </c>
    </row>
    <row r="28" spans="1:6" x14ac:dyDescent="0.25">
      <c r="A28" s="3" t="s">
        <v>8</v>
      </c>
      <c r="B28" s="3" t="s">
        <v>30</v>
      </c>
      <c r="C28">
        <v>110</v>
      </c>
      <c r="D28" s="3" t="s">
        <v>46</v>
      </c>
      <c r="E28">
        <v>68.67</v>
      </c>
      <c r="F28" s="3" t="s">
        <v>18</v>
      </c>
    </row>
    <row r="29" spans="1:6" x14ac:dyDescent="0.25">
      <c r="A29" s="3" t="s">
        <v>9</v>
      </c>
      <c r="B29" s="3" t="s">
        <v>26</v>
      </c>
      <c r="C29">
        <v>110</v>
      </c>
      <c r="D29" s="3" t="s">
        <v>46</v>
      </c>
      <c r="E29">
        <v>145.80000000000001</v>
      </c>
      <c r="F29" s="3" t="s">
        <v>18</v>
      </c>
    </row>
    <row r="30" spans="1:6" x14ac:dyDescent="0.25">
      <c r="A30" s="3" t="s">
        <v>10</v>
      </c>
      <c r="B30" s="3" t="s">
        <v>37</v>
      </c>
      <c r="C30">
        <v>110</v>
      </c>
      <c r="D30" s="3" t="s">
        <v>45</v>
      </c>
      <c r="E30">
        <v>158.96</v>
      </c>
      <c r="F30" s="3" t="s">
        <v>19</v>
      </c>
    </row>
    <row r="31" spans="1:6" x14ac:dyDescent="0.25">
      <c r="A31" s="3" t="s">
        <v>10</v>
      </c>
      <c r="B31" s="3" t="s">
        <v>37</v>
      </c>
      <c r="C31">
        <v>110</v>
      </c>
      <c r="D31" s="3" t="s">
        <v>47</v>
      </c>
      <c r="E31">
        <v>78.98</v>
      </c>
      <c r="F31" s="3" t="s">
        <v>19</v>
      </c>
    </row>
    <row r="32" spans="1:6" x14ac:dyDescent="0.25">
      <c r="A32" s="3" t="s">
        <v>11</v>
      </c>
      <c r="B32" s="3" t="s">
        <v>27</v>
      </c>
      <c r="C32">
        <v>110</v>
      </c>
      <c r="D32" s="3" t="s">
        <v>45</v>
      </c>
      <c r="E32">
        <v>2690</v>
      </c>
      <c r="F32" s="3" t="s">
        <v>19</v>
      </c>
    </row>
    <row r="33" spans="1:6" x14ac:dyDescent="0.25">
      <c r="A33" s="3" t="s">
        <v>13</v>
      </c>
      <c r="B33" s="3" t="s">
        <v>28</v>
      </c>
      <c r="C33">
        <v>110</v>
      </c>
      <c r="D33" s="3" t="s">
        <v>46</v>
      </c>
      <c r="E33">
        <v>3599</v>
      </c>
      <c r="F33" s="3" t="s">
        <v>19</v>
      </c>
    </row>
    <row r="34" spans="1:6" x14ac:dyDescent="0.25">
      <c r="A34" s="3" t="s">
        <v>14</v>
      </c>
      <c r="B34" s="3" t="s">
        <v>36</v>
      </c>
      <c r="C34">
        <v>110</v>
      </c>
      <c r="D34" s="3" t="s">
        <v>45</v>
      </c>
      <c r="E34">
        <v>109</v>
      </c>
      <c r="F34" s="3" t="s">
        <v>19</v>
      </c>
    </row>
    <row r="35" spans="1:6" x14ac:dyDescent="0.25">
      <c r="A35" s="3" t="s">
        <v>14</v>
      </c>
      <c r="B35" s="3" t="s">
        <v>36</v>
      </c>
      <c r="C35">
        <v>110</v>
      </c>
      <c r="D35" s="3" t="s">
        <v>46</v>
      </c>
      <c r="E35">
        <v>109</v>
      </c>
      <c r="F35" s="3" t="s">
        <v>19</v>
      </c>
    </row>
    <row r="36" spans="1:6" x14ac:dyDescent="0.25">
      <c r="A36" s="3" t="s">
        <v>14</v>
      </c>
      <c r="B36" s="3" t="s">
        <v>36</v>
      </c>
      <c r="C36">
        <v>110</v>
      </c>
      <c r="D36" s="3" t="s">
        <v>47</v>
      </c>
      <c r="E36">
        <v>109</v>
      </c>
      <c r="F36" s="3" t="s">
        <v>19</v>
      </c>
    </row>
    <row r="37" spans="1:6" x14ac:dyDescent="0.25">
      <c r="A37" s="3" t="s">
        <v>15</v>
      </c>
      <c r="B37" s="3" t="s">
        <v>39</v>
      </c>
      <c r="C37">
        <v>110</v>
      </c>
      <c r="D37" s="3" t="s">
        <v>45</v>
      </c>
      <c r="E37">
        <v>24</v>
      </c>
      <c r="F37" s="3" t="s">
        <v>20</v>
      </c>
    </row>
    <row r="38" spans="1:6" x14ac:dyDescent="0.25">
      <c r="A38" s="3" t="s">
        <v>16</v>
      </c>
      <c r="B38" s="3" t="s">
        <v>32</v>
      </c>
      <c r="C38">
        <v>110</v>
      </c>
      <c r="D38" s="3" t="s">
        <v>46</v>
      </c>
      <c r="E38">
        <v>52.88</v>
      </c>
      <c r="F38" s="3" t="s">
        <v>20</v>
      </c>
    </row>
    <row r="39" spans="1:6" x14ac:dyDescent="0.25">
      <c r="A39" s="3" t="s">
        <v>16</v>
      </c>
      <c r="B39" s="3" t="s">
        <v>32</v>
      </c>
      <c r="C39">
        <v>110</v>
      </c>
      <c r="D39" s="3" t="s">
        <v>47</v>
      </c>
      <c r="E39">
        <v>345</v>
      </c>
      <c r="F39" s="3" t="s">
        <v>20</v>
      </c>
    </row>
    <row r="40" spans="1:6" x14ac:dyDescent="0.25">
      <c r="A40" s="3" t="s">
        <v>4</v>
      </c>
      <c r="B40" s="3" t="s">
        <v>33</v>
      </c>
      <c r="C40">
        <v>105</v>
      </c>
      <c r="D40" s="3" t="s">
        <v>45</v>
      </c>
      <c r="E40">
        <v>125</v>
      </c>
      <c r="F40" s="3" t="s">
        <v>17</v>
      </c>
    </row>
    <row r="41" spans="1:6" x14ac:dyDescent="0.25">
      <c r="A41" s="3" t="s">
        <v>4</v>
      </c>
      <c r="B41" s="3" t="s">
        <v>33</v>
      </c>
      <c r="C41">
        <v>105</v>
      </c>
      <c r="D41" s="3" t="s">
        <v>46</v>
      </c>
      <c r="E41">
        <v>125</v>
      </c>
      <c r="F41" s="3" t="s">
        <v>17</v>
      </c>
    </row>
    <row r="42" spans="1:6" x14ac:dyDescent="0.25">
      <c r="A42" s="3" t="s">
        <v>4</v>
      </c>
      <c r="B42" s="3" t="s">
        <v>33</v>
      </c>
      <c r="C42">
        <v>105</v>
      </c>
      <c r="D42" s="3" t="s">
        <v>47</v>
      </c>
      <c r="E42">
        <v>125</v>
      </c>
      <c r="F42" s="3" t="s">
        <v>17</v>
      </c>
    </row>
    <row r="43" spans="1:6" x14ac:dyDescent="0.25">
      <c r="A43" s="3" t="s">
        <v>8</v>
      </c>
      <c r="B43" s="3" t="s">
        <v>30</v>
      </c>
      <c r="C43">
        <v>105</v>
      </c>
      <c r="D43" s="3" t="s">
        <v>47</v>
      </c>
      <c r="E43">
        <v>248.95</v>
      </c>
      <c r="F43" s="3" t="s">
        <v>18</v>
      </c>
    </row>
    <row r="44" spans="1:6" x14ac:dyDescent="0.25">
      <c r="A44" s="3" t="s">
        <v>10</v>
      </c>
      <c r="B44" s="3" t="s">
        <v>37</v>
      </c>
      <c r="C44">
        <v>105</v>
      </c>
      <c r="D44" s="3" t="s">
        <v>47</v>
      </c>
      <c r="E44">
        <v>86.64</v>
      </c>
      <c r="F44" s="3" t="s">
        <v>19</v>
      </c>
    </row>
    <row r="45" spans="1:6" x14ac:dyDescent="0.25">
      <c r="A45" s="3" t="s">
        <v>11</v>
      </c>
      <c r="B45" s="3" t="s">
        <v>27</v>
      </c>
      <c r="C45">
        <v>105</v>
      </c>
      <c r="D45" s="3" t="s">
        <v>46</v>
      </c>
      <c r="E45">
        <v>52.33</v>
      </c>
      <c r="F45" s="3" t="s">
        <v>19</v>
      </c>
    </row>
    <row r="46" spans="1:6" x14ac:dyDescent="0.25">
      <c r="A46" s="3" t="s">
        <v>11</v>
      </c>
      <c r="B46" s="3" t="s">
        <v>27</v>
      </c>
      <c r="C46">
        <v>105</v>
      </c>
      <c r="D46" s="3" t="s">
        <v>47</v>
      </c>
      <c r="E46">
        <v>112.77</v>
      </c>
      <c r="F46" s="3" t="s">
        <v>19</v>
      </c>
    </row>
    <row r="47" spans="1:6" x14ac:dyDescent="0.25">
      <c r="A47" s="3" t="s">
        <v>12</v>
      </c>
      <c r="B47" s="3" t="s">
        <v>35</v>
      </c>
      <c r="C47">
        <v>105</v>
      </c>
      <c r="D47" s="3" t="s">
        <v>45</v>
      </c>
      <c r="E47">
        <v>75.900000000000006</v>
      </c>
      <c r="F47" s="3" t="s">
        <v>19</v>
      </c>
    </row>
    <row r="48" spans="1:6" x14ac:dyDescent="0.25">
      <c r="A48" s="3" t="s">
        <v>12</v>
      </c>
      <c r="B48" s="3" t="s">
        <v>35</v>
      </c>
      <c r="C48">
        <v>105</v>
      </c>
      <c r="D48" s="3" t="s">
        <v>46</v>
      </c>
      <c r="E48">
        <v>75.900000000000006</v>
      </c>
      <c r="F48" s="3" t="s">
        <v>19</v>
      </c>
    </row>
    <row r="49" spans="1:6" x14ac:dyDescent="0.25">
      <c r="A49" s="3" t="s">
        <v>12</v>
      </c>
      <c r="B49" s="3" t="s">
        <v>35</v>
      </c>
      <c r="C49">
        <v>105</v>
      </c>
      <c r="D49" s="3" t="s">
        <v>47</v>
      </c>
      <c r="E49">
        <v>75.900000000000006</v>
      </c>
      <c r="F49" s="3" t="s">
        <v>19</v>
      </c>
    </row>
    <row r="50" spans="1:6" x14ac:dyDescent="0.25">
      <c r="A50" s="3" t="s">
        <v>15</v>
      </c>
      <c r="B50" s="3" t="s">
        <v>39</v>
      </c>
      <c r="C50">
        <v>105</v>
      </c>
      <c r="D50" s="3" t="s">
        <v>47</v>
      </c>
      <c r="E50">
        <v>86.64</v>
      </c>
      <c r="F50" s="3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4ACF-BDA7-4DCB-A585-282E6D374090}">
  <dimension ref="A1:C20"/>
  <sheetViews>
    <sheetView workbookViewId="0">
      <selection activeCell="C4" sqref="C4"/>
    </sheetView>
  </sheetViews>
  <sheetFormatPr defaultRowHeight="15" x14ac:dyDescent="0.25"/>
  <cols>
    <col min="1" max="1" width="20.42578125" customWidth="1"/>
    <col min="2" max="2" width="18.140625" customWidth="1"/>
    <col min="3" max="3" width="14" customWidth="1"/>
  </cols>
  <sheetData>
    <row r="1" spans="1:3" ht="23.25" x14ac:dyDescent="0.35">
      <c r="A1" s="1" t="s">
        <v>41</v>
      </c>
    </row>
    <row r="3" spans="1:3" x14ac:dyDescent="0.25">
      <c r="A3" s="2" t="s">
        <v>21</v>
      </c>
      <c r="B3" s="2" t="s">
        <v>22</v>
      </c>
      <c r="C3" s="2" t="s">
        <v>40</v>
      </c>
    </row>
    <row r="4" spans="1:3" x14ac:dyDescent="0.25">
      <c r="A4" t="s">
        <v>5</v>
      </c>
      <c r="B4" t="s">
        <v>17</v>
      </c>
      <c r="C4" t="s">
        <v>23</v>
      </c>
    </row>
    <row r="5" spans="1:3" x14ac:dyDescent="0.25">
      <c r="A5" t="s">
        <v>2</v>
      </c>
      <c r="B5" t="s">
        <v>17</v>
      </c>
      <c r="C5" t="s">
        <v>24</v>
      </c>
    </row>
    <row r="6" spans="1:3" x14ac:dyDescent="0.25">
      <c r="A6" t="s">
        <v>7</v>
      </c>
      <c r="B6" t="s">
        <v>18</v>
      </c>
      <c r="C6" t="s">
        <v>25</v>
      </c>
    </row>
    <row r="7" spans="1:3" x14ac:dyDescent="0.25">
      <c r="A7" t="s">
        <v>9</v>
      </c>
      <c r="B7" t="s">
        <v>18</v>
      </c>
      <c r="C7" t="s">
        <v>26</v>
      </c>
    </row>
    <row r="8" spans="1:3" x14ac:dyDescent="0.25">
      <c r="A8" t="s">
        <v>11</v>
      </c>
      <c r="B8" t="s">
        <v>19</v>
      </c>
      <c r="C8" t="s">
        <v>27</v>
      </c>
    </row>
    <row r="9" spans="1:3" x14ac:dyDescent="0.25">
      <c r="A9" t="s">
        <v>13</v>
      </c>
      <c r="B9" t="s">
        <v>19</v>
      </c>
      <c r="C9" t="s">
        <v>28</v>
      </c>
    </row>
    <row r="10" spans="1:3" x14ac:dyDescent="0.25">
      <c r="A10" t="s">
        <v>6</v>
      </c>
      <c r="B10" t="s">
        <v>18</v>
      </c>
      <c r="C10" t="s">
        <v>29</v>
      </c>
    </row>
    <row r="11" spans="1:3" x14ac:dyDescent="0.25">
      <c r="A11" t="s">
        <v>8</v>
      </c>
      <c r="B11" t="s">
        <v>18</v>
      </c>
      <c r="C11" t="s">
        <v>30</v>
      </c>
    </row>
    <row r="12" spans="1:3" x14ac:dyDescent="0.25">
      <c r="A12" t="s">
        <v>0</v>
      </c>
      <c r="B12" t="s">
        <v>17</v>
      </c>
      <c r="C12" t="s">
        <v>31</v>
      </c>
    </row>
    <row r="13" spans="1:3" x14ac:dyDescent="0.25">
      <c r="A13" t="s">
        <v>16</v>
      </c>
      <c r="B13" t="s">
        <v>20</v>
      </c>
      <c r="C13" t="s">
        <v>32</v>
      </c>
    </row>
    <row r="14" spans="1:3" x14ac:dyDescent="0.25">
      <c r="A14" t="s">
        <v>4</v>
      </c>
      <c r="B14" t="s">
        <v>17</v>
      </c>
      <c r="C14" t="s">
        <v>33</v>
      </c>
    </row>
    <row r="15" spans="1:3" x14ac:dyDescent="0.25">
      <c r="A15" t="s">
        <v>1</v>
      </c>
      <c r="B15" t="s">
        <v>17</v>
      </c>
      <c r="C15" t="s">
        <v>34</v>
      </c>
    </row>
    <row r="16" spans="1:3" x14ac:dyDescent="0.25">
      <c r="A16" t="s">
        <v>12</v>
      </c>
      <c r="B16" t="s">
        <v>19</v>
      </c>
      <c r="C16" t="s">
        <v>35</v>
      </c>
    </row>
    <row r="17" spans="1:3" x14ac:dyDescent="0.25">
      <c r="A17" t="s">
        <v>14</v>
      </c>
      <c r="B17" t="s">
        <v>19</v>
      </c>
      <c r="C17" t="s">
        <v>36</v>
      </c>
    </row>
    <row r="18" spans="1:3" x14ac:dyDescent="0.25">
      <c r="A18" t="s">
        <v>10</v>
      </c>
      <c r="B18" t="s">
        <v>19</v>
      </c>
      <c r="C18" t="s">
        <v>37</v>
      </c>
    </row>
    <row r="19" spans="1:3" x14ac:dyDescent="0.25">
      <c r="A19" t="s">
        <v>3</v>
      </c>
      <c r="B19" t="s">
        <v>17</v>
      </c>
      <c r="C19" t="s">
        <v>38</v>
      </c>
    </row>
    <row r="20" spans="1:3" x14ac:dyDescent="0.25">
      <c r="A20" t="s">
        <v>15</v>
      </c>
      <c r="B20" t="s">
        <v>20</v>
      </c>
      <c r="C20" t="s">
        <v>39</v>
      </c>
    </row>
  </sheetData>
  <sortState xmlns:xlrd2="http://schemas.microsoft.com/office/spreadsheetml/2017/richdata2" ref="A4:C20">
    <sortCondition ref="A4:A20"/>
  </sortState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650F5-E127-484A-9B32-E255D6313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Staff</vt:lpstr>
      <vt:lpstr>Expenses by Month</vt:lpstr>
      <vt:lpstr>Expense by Category</vt:lpstr>
      <vt:lpstr>Expenses</vt:lpstr>
      <vt:lpstr>Staff Expense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Bryan Johns</cp:lastModifiedBy>
  <dcterms:created xsi:type="dcterms:W3CDTF">2021-01-26T22:24:35Z</dcterms:created>
  <dcterms:modified xsi:type="dcterms:W3CDTF">2025-12-14T19:21:57Z</dcterms:modified>
</cp:coreProperties>
</file>