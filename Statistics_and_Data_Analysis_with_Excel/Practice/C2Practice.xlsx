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br\Data-Analyst\Projects\macquarie-excel-skills\Statistics_and_Data_Analysis_with_Excel\Practice\"/>
    </mc:Choice>
  </mc:AlternateContent>
  <xr:revisionPtr revIDLastSave="0" documentId="13_ncr:1_{ED08A777-DB09-42A3-8080-C5E1E4FEF907}" xr6:coauthVersionLast="47" xr6:coauthVersionMax="47" xr10:uidLastSave="{00000000-0000-0000-0000-000000000000}"/>
  <bookViews>
    <workbookView xWindow="30" yWindow="900" windowWidth="22800" windowHeight="14610" activeTab="5" xr2:uid="{75BA9FB6-DA4A-450B-8858-E923312B86FF}"/>
  </bookViews>
  <sheets>
    <sheet name="Pivot1" sheetId="7" r:id="rId1"/>
    <sheet name="Pivot2" sheetId="8" r:id="rId2"/>
    <sheet name="Sheet1" sheetId="1" r:id="rId3"/>
    <sheet name="2 Samples" sheetId="5" r:id="rId4"/>
    <sheet name="Paired" sheetId="6" r:id="rId5"/>
    <sheet name="Correlation" sheetId="3" r:id="rId6"/>
  </sheets>
  <definedNames>
    <definedName name="_xlnm._FilterDatabase" localSheetId="5" hidden="1">Correlation!#REF!</definedName>
    <definedName name="solver_eng" localSheetId="5" hidden="1">1</definedName>
    <definedName name="solver_neg" localSheetId="5" hidden="1">1</definedName>
    <definedName name="solver_num" localSheetId="5" hidden="1">0</definedName>
    <definedName name="solver_opt" localSheetId="5" hidden="1">Correlation!#REF!</definedName>
    <definedName name="solver_typ" localSheetId="5" hidden="1">1</definedName>
    <definedName name="solver_val" localSheetId="5" hidden="1">0</definedName>
    <definedName name="solver_ver" localSheetId="5" hidden="1">3</definedName>
  </definedNames>
  <calcPr calcId="191029"/>
  <pivotCaches>
    <pivotCache cacheId="6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8" l="1"/>
  <c r="H5" i="8"/>
  <c r="H6" i="8"/>
  <c r="H4" i="8"/>
  <c r="I8" i="8"/>
  <c r="G5" i="8"/>
  <c r="G6" i="8"/>
  <c r="G4" i="8"/>
  <c r="F7" i="8"/>
</calcChain>
</file>

<file path=xl/sharedStrings.xml><?xml version="1.0" encoding="utf-8"?>
<sst xmlns="http://schemas.openxmlformats.org/spreadsheetml/2006/main" count="961" uniqueCount="356">
  <si>
    <t>Order No</t>
  </si>
  <si>
    <t>Order Date</t>
  </si>
  <si>
    <t>Order Year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</si>
  <si>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</si>
  <si>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</si>
  <si>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</si>
  <si>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</si>
  <si>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</si>
  <si>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</si>
  <si>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</si>
  <si>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</si>
  <si>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</si>
  <si>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</si>
  <si>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</si>
  <si>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</si>
  <si>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</si>
  <si>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</si>
  <si>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Profit Margin</t>
  </si>
  <si>
    <t>Order Quantity</t>
  </si>
  <si>
    <t>Sub Total</t>
  </si>
  <si>
    <t>Discount %</t>
  </si>
  <si>
    <t>Discount $</t>
  </si>
  <si>
    <t>Order Total</t>
  </si>
  <si>
    <t>Shipping Cost</t>
  </si>
  <si>
    <t>Total</t>
  </si>
  <si>
    <t>221 Barkly St,St Kilda</t>
  </si>
  <si>
    <t>Melbourne</t>
  </si>
  <si>
    <t>VIC</t>
  </si>
  <si>
    <t>Home Office</t>
  </si>
  <si>
    <t>Yvette Biti</t>
  </si>
  <si>
    <t>High</t>
  </si>
  <si>
    <t>Office Supplies</t>
  </si>
  <si>
    <t>Small Box</t>
  </si>
  <si>
    <t>Regular Air</t>
  </si>
  <si>
    <t>Alex Russell</t>
  </si>
  <si>
    <t>101/12 Victoria Ave, Perth</t>
  </si>
  <si>
    <t>Connor Betts</t>
  </si>
  <si>
    <t>Wrap Bag</t>
  </si>
  <si>
    <t>61 York St,Sydney</t>
  </si>
  <si>
    <t>Sydney</t>
  </si>
  <si>
    <t>NSW</t>
  </si>
  <si>
    <t>Corporate</t>
  </si>
  <si>
    <t>Leighton Forrest</t>
  </si>
  <si>
    <t>Critical</t>
  </si>
  <si>
    <t>Express Air</t>
  </si>
  <si>
    <t>3 Carrington Road ,Box Hill</t>
  </si>
  <si>
    <t>Technology</t>
  </si>
  <si>
    <t>Consumer</t>
  </si>
  <si>
    <t>Nicholas Fernandes</t>
  </si>
  <si>
    <t>Low</t>
  </si>
  <si>
    <t>Phoebe Gour</t>
  </si>
  <si>
    <t>Multimedia Mailers</t>
  </si>
  <si>
    <t>Pizazz Dustless Chalk Sticks</t>
  </si>
  <si>
    <t>273 George Street,Sydney</t>
  </si>
  <si>
    <t>Small Business</t>
  </si>
  <si>
    <t>Not Specified</t>
  </si>
  <si>
    <t>TypeRight Side-Opening Peel &amp; Seel Expanding Envelopes</t>
  </si>
  <si>
    <t>Natasha Song</t>
  </si>
  <si>
    <t>Artisan Printable Repositionable Plastic Tabs</t>
  </si>
  <si>
    <t>120 Hardware St,Melbourne</t>
  </si>
  <si>
    <t>Medium</t>
  </si>
  <si>
    <t>5033-1</t>
  </si>
  <si>
    <t>Katherine Ducich</t>
  </si>
  <si>
    <t>61A Bay Road,Wollstonecraft</t>
  </si>
  <si>
    <t>Samantha Chairs</t>
  </si>
  <si>
    <t>5034-1</t>
  </si>
  <si>
    <t>Natalie Webber</t>
  </si>
  <si>
    <t>98-104 Parramatta Rd,Camperdown</t>
  </si>
  <si>
    <t>Artisan Arch Ring Binders</t>
  </si>
  <si>
    <t>5036-1</t>
  </si>
  <si>
    <t>Sean ODonnell</t>
  </si>
  <si>
    <t>541 Church St ,Richmond</t>
  </si>
  <si>
    <t>OIC Thumb-Tacks</t>
  </si>
  <si>
    <t>5037-1</t>
  </si>
  <si>
    <t>Art Foster</t>
  </si>
  <si>
    <t>14 Money Street, Perth</t>
  </si>
  <si>
    <t>Stevie Bacata</t>
  </si>
  <si>
    <t>Apex Elite Stainless Steel Scissors</t>
  </si>
  <si>
    <t>Small Pack</t>
  </si>
  <si>
    <t>5038-1</t>
  </si>
  <si>
    <t>Darren Powers</t>
  </si>
  <si>
    <t>5039-1</t>
  </si>
  <si>
    <t>Michael Grace</t>
  </si>
  <si>
    <t>402 Argyle St,Moss Vale</t>
  </si>
  <si>
    <t>Alto Parchment Paper, Assorted Colors</t>
  </si>
  <si>
    <t>5040-1</t>
  </si>
  <si>
    <t>Christina Vanderzanden</t>
  </si>
  <si>
    <t>188 Pitt Street,Sydney</t>
  </si>
  <si>
    <t>Tina Carlton</t>
  </si>
  <si>
    <t>Steady Colorific Colored Pencils, 12/Box</t>
  </si>
  <si>
    <t>5043-1</t>
  </si>
  <si>
    <t>Aaron Smayling</t>
  </si>
  <si>
    <t>1737 Botany Rd,Banksmeadow</t>
  </si>
  <si>
    <t>Smiths Gold Paper Clips</t>
  </si>
  <si>
    <t>5045-1</t>
  </si>
  <si>
    <t>Mick Brown</t>
  </si>
  <si>
    <t>523 King St,Newtown</t>
  </si>
  <si>
    <t>Aanya Zhang</t>
  </si>
  <si>
    <t>UGen RF Keyboard</t>
  </si>
  <si>
    <t>5047-1</t>
  </si>
  <si>
    <t>Edward Becker</t>
  </si>
  <si>
    <t>501 George St,Sydney</t>
  </si>
  <si>
    <t>5048-1</t>
  </si>
  <si>
    <t>Erica Smith</t>
  </si>
  <si>
    <t>Smiths Standard Envelopes</t>
  </si>
  <si>
    <t>5049-1</t>
  </si>
  <si>
    <t>Justin Knight</t>
  </si>
  <si>
    <t>Macquarie Centre Cnr Herring Road &amp; Waterloo Road,Macquarie Park</t>
  </si>
  <si>
    <t>Office Shears by Apex</t>
  </si>
  <si>
    <t>5050-1</t>
  </si>
  <si>
    <t>Craig Carroll</t>
  </si>
  <si>
    <t>99 Lygon Street,East Brunswick</t>
  </si>
  <si>
    <t>5052-1</t>
  </si>
  <si>
    <t>Laura Armstrong</t>
  </si>
  <si>
    <t>240-242 Johnston Street,Fitzroy</t>
  </si>
  <si>
    <t>EcoTones Memo Sheets</t>
  </si>
  <si>
    <t>5055-1</t>
  </si>
  <si>
    <t>Noah Childs</t>
  </si>
  <si>
    <t>78 Stanley St,Darlinghurst</t>
  </si>
  <si>
    <t>Smiths Premium Bright 1-Part Blank Computer Paper</t>
  </si>
  <si>
    <t>5057-1</t>
  </si>
  <si>
    <t>Rob Haberlin</t>
  </si>
  <si>
    <t>8 Rankins Lane ,Melbourne</t>
  </si>
  <si>
    <t>Artisan 479 Labels</t>
  </si>
  <si>
    <t>5059-1</t>
  </si>
  <si>
    <t>Barry Weirich</t>
  </si>
  <si>
    <t>1/20 Pendal Lane, Perth</t>
  </si>
  <si>
    <t>Charlie Bui</t>
  </si>
  <si>
    <t>Beekin 105-Key Black Keyboard</t>
  </si>
  <si>
    <t>5060-1</t>
  </si>
  <si>
    <t>Kelly Williams</t>
  </si>
  <si>
    <t>499-501 Lygon Street,Carlton North</t>
  </si>
  <si>
    <t>Adesso Programmable 142-Key Keyboard</t>
  </si>
  <si>
    <t>5061-1</t>
  </si>
  <si>
    <t>Jack OBriant</t>
  </si>
  <si>
    <t>85-113 Dunning Ave,Rosebery</t>
  </si>
  <si>
    <t>Mihael Khan</t>
  </si>
  <si>
    <t>5062-1</t>
  </si>
  <si>
    <t>Pamela Stobb</t>
  </si>
  <si>
    <t>TechSavi Access Keyboard</t>
  </si>
  <si>
    <t>5063-1</t>
  </si>
  <si>
    <t>William Brown</t>
  </si>
  <si>
    <t>Smiths SlimLine Pencil Sharpener</t>
  </si>
  <si>
    <t>5064-1</t>
  </si>
  <si>
    <t>Nat Carroll</t>
  </si>
  <si>
    <t>Artisan Premier Heavy-Duty Binder with Round Locking Rings</t>
  </si>
  <si>
    <t>5066-1</t>
  </si>
  <si>
    <t>Troy Staebel</t>
  </si>
  <si>
    <t>1-2/299 Sussex St,Sydney</t>
  </si>
  <si>
    <t>5068-1</t>
  </si>
  <si>
    <t>Dario Medina</t>
  </si>
  <si>
    <t>60 York St,Sydney</t>
  </si>
  <si>
    <t>5070-1</t>
  </si>
  <si>
    <t>Lynn Smith</t>
  </si>
  <si>
    <t>Steady Liquid Accent Highlighters</t>
  </si>
  <si>
    <t>5071-1</t>
  </si>
  <si>
    <t>Christopher Schild</t>
  </si>
  <si>
    <t>4A Lyons St,Strathfield</t>
  </si>
  <si>
    <t>Laser Neon Mac Format Diskettes, 10/Pack</t>
  </si>
  <si>
    <t>5071-2</t>
  </si>
  <si>
    <t>5075-1</t>
  </si>
  <si>
    <t>Dave Kipp</t>
  </si>
  <si>
    <t>5077-1</t>
  </si>
  <si>
    <t>Grant Carroll</t>
  </si>
  <si>
    <t>10 O'Connell St,Sydney</t>
  </si>
  <si>
    <t>5079-1</t>
  </si>
  <si>
    <t>Liz Pelletier</t>
  </si>
  <si>
    <t>79 Elliott St,Balmain</t>
  </si>
  <si>
    <t>1726 Digital Answering Machine</t>
  </si>
  <si>
    <t>Medium Box</t>
  </si>
  <si>
    <t>5081-1</t>
  </si>
  <si>
    <t>Thea Hudgings</t>
  </si>
  <si>
    <t>5084-1</t>
  </si>
  <si>
    <t>5086-1</t>
  </si>
  <si>
    <t>Eudokia Martin</t>
  </si>
  <si>
    <t>412 Brunswick St,Fitzroy</t>
  </si>
  <si>
    <t>Artisan Flip-Chart Easel Binder, Black</t>
  </si>
  <si>
    <t>5087-1</t>
  </si>
  <si>
    <t>Scot Wooten</t>
  </si>
  <si>
    <t>438 Victoria Avenue,Chatswood</t>
  </si>
  <si>
    <t>DrawIt Colored Pencils, 48-Color Set</t>
  </si>
  <si>
    <t>5089-1</t>
  </si>
  <si>
    <t>Jenna Caffey</t>
  </si>
  <si>
    <t>470 Anzac Parade,Kingsford</t>
  </si>
  <si>
    <t>600 Series Non-Flip</t>
  </si>
  <si>
    <t>5091-1</t>
  </si>
  <si>
    <t>Brad Thomas</t>
  </si>
  <si>
    <t>152 Bunnerong Road,Eastgardens</t>
  </si>
  <si>
    <t>210 Trimline Phone, White</t>
  </si>
  <si>
    <t>5093-1</t>
  </si>
  <si>
    <t>Steady Major Accent Highlighters</t>
  </si>
  <si>
    <t>5095-1</t>
  </si>
  <si>
    <t>Roy Skaria</t>
  </si>
  <si>
    <t>2/797 Botany Rd,Rosebery</t>
  </si>
  <si>
    <t>Aluminum Document Frame</t>
  </si>
  <si>
    <t>Furniture</t>
  </si>
  <si>
    <t>5097-1</t>
  </si>
  <si>
    <t>Brad Eason</t>
  </si>
  <si>
    <t>Artisan Legal 4-Ring Binder</t>
  </si>
  <si>
    <t>5099-1</t>
  </si>
  <si>
    <t>5101-1</t>
  </si>
  <si>
    <t>Thais Sissman</t>
  </si>
  <si>
    <t>8 Orange Street</t>
  </si>
  <si>
    <t>Perth</t>
  </si>
  <si>
    <t>WA</t>
  </si>
  <si>
    <t>5103-1</t>
  </si>
  <si>
    <t>Andy Reiter</t>
  </si>
  <si>
    <t>30 Wellington Street, Perth</t>
  </si>
  <si>
    <t>Smiths General Use 3-Ring Binders</t>
  </si>
  <si>
    <t>5104-1</t>
  </si>
  <si>
    <t>Becky Martin</t>
  </si>
  <si>
    <t>22 St Georges Terrace, Perth</t>
  </si>
  <si>
    <t>Alto Keyboard-In-A-Box</t>
  </si>
  <si>
    <t>5106-1</t>
  </si>
  <si>
    <t>Denny Ordway</t>
  </si>
  <si>
    <t>Artisan 48 Labels</t>
  </si>
  <si>
    <t>5108-1</t>
  </si>
  <si>
    <t>Luke Schmidt</t>
  </si>
  <si>
    <t>73 York St,Sydney</t>
  </si>
  <si>
    <t>UGen Ultra Professional Cordless Optical Suite</t>
  </si>
  <si>
    <t>5109-1</t>
  </si>
  <si>
    <t>Kelly Lampkin</t>
  </si>
  <si>
    <t>310 Wattle St,Ultimo</t>
  </si>
  <si>
    <t>OIC Colored Binder Clips, Assorted Sizes</t>
  </si>
  <si>
    <t>5111-1</t>
  </si>
  <si>
    <t>Eugene Moren</t>
  </si>
  <si>
    <t>14/76 Newcastle Street</t>
  </si>
  <si>
    <t>Colored Envelopes</t>
  </si>
  <si>
    <t>5112-1</t>
  </si>
  <si>
    <t>Anthony Rawles</t>
  </si>
  <si>
    <t>Xit Blank Computer Paper</t>
  </si>
  <si>
    <t>5113-1</t>
  </si>
  <si>
    <t>Rick Duston</t>
  </si>
  <si>
    <t>260 Marrickville Rd,Marrickville</t>
  </si>
  <si>
    <t>Alto Perma 2700 Stacking Storage Drawers</t>
  </si>
  <si>
    <t>5114-1</t>
  </si>
  <si>
    <t>Raymond Fair</t>
  </si>
  <si>
    <t>TechSavi Cordless Elite Duo</t>
  </si>
  <si>
    <t>5115-1</t>
  </si>
  <si>
    <t>Joy Smith</t>
  </si>
  <si>
    <t>Wirebound Message Book, 4 per Page</t>
  </si>
  <si>
    <t>5117-1</t>
  </si>
  <si>
    <t>Jim Epp</t>
  </si>
  <si>
    <t>Laser DVD-RAM discs</t>
  </si>
  <si>
    <t>5119-1</t>
  </si>
  <si>
    <t>Mike Vittorini</t>
  </si>
  <si>
    <t>211/25-29 Dixon St,Haymarket</t>
  </si>
  <si>
    <t>Preston Senome</t>
  </si>
  <si>
    <t>Artisan Hi-Liter Fluorescent Desk Style Markers</t>
  </si>
  <si>
    <t>5120-1</t>
  </si>
  <si>
    <t>Neil Knudson</t>
  </si>
  <si>
    <t>5122-1</t>
  </si>
  <si>
    <t>Deborah Brumfield</t>
  </si>
  <si>
    <t>5124-1</t>
  </si>
  <si>
    <t>Erica Hernandez</t>
  </si>
  <si>
    <t>12 Princess Hwy,Sylvania</t>
  </si>
  <si>
    <t>5125-1</t>
  </si>
  <si>
    <t>Janet Martin</t>
  </si>
  <si>
    <t>24 Addison Rd,Marrickville</t>
  </si>
  <si>
    <t>Radhya Staples</t>
  </si>
  <si>
    <t>5127-1</t>
  </si>
  <si>
    <t>Beth Thompson</t>
  </si>
  <si>
    <t>101 Murray Street, Perth</t>
  </si>
  <si>
    <t>Deluxe Rollaway Locking File with Drawer</t>
  </si>
  <si>
    <t>5128-1</t>
  </si>
  <si>
    <t>Nora Paige</t>
  </si>
  <si>
    <t>85-113 Dunning Ave,Roseberry</t>
  </si>
  <si>
    <t>5129-1</t>
  </si>
  <si>
    <t>Jim Kriz</t>
  </si>
  <si>
    <t>Smiths Colored Interoffice Envelopes</t>
  </si>
  <si>
    <t>5131-1</t>
  </si>
  <si>
    <t>Steve Nguyen</t>
  </si>
  <si>
    <t>5133-1</t>
  </si>
  <si>
    <t>Scott Cohen</t>
  </si>
  <si>
    <t>Wirebound Voice Message Log Book</t>
  </si>
  <si>
    <t>5134-1</t>
  </si>
  <si>
    <t>Liz MacKendrick</t>
  </si>
  <si>
    <t>224A Gertrude St,Fitzroy</t>
  </si>
  <si>
    <t>5135-1</t>
  </si>
  <si>
    <t>5137-1</t>
  </si>
  <si>
    <t>Carlos Meador</t>
  </si>
  <si>
    <t>5138-1</t>
  </si>
  <si>
    <t>Giulietta Dortch</t>
  </si>
  <si>
    <t>180 High Street,Windsor</t>
  </si>
  <si>
    <t>Smiths Metal Binder Clips</t>
  </si>
  <si>
    <t>5140-1</t>
  </si>
  <si>
    <t>Paul Lucas</t>
  </si>
  <si>
    <t>8 Quay Street,Haymarket</t>
  </si>
  <si>
    <t>3Max Organizer Strips</t>
  </si>
  <si>
    <t>5142-1</t>
  </si>
  <si>
    <t>Aleksandra Gannaway</t>
  </si>
  <si>
    <t>508/130 Mounts Bay Road, Perth</t>
  </si>
  <si>
    <t>PastelOcean Color Pencil Set</t>
  </si>
  <si>
    <t>5144-1</t>
  </si>
  <si>
    <t>Roy Collins</t>
  </si>
  <si>
    <t>6 Brookman Street</t>
  </si>
  <si>
    <t>CUST_ID</t>
  </si>
  <si>
    <t>ACCOUNT_TENURE</t>
  </si>
  <si>
    <t>AGE</t>
  </si>
  <si>
    <t>SERVICE_TENURE</t>
  </si>
  <si>
    <t>PLAN_TENURE</t>
  </si>
  <si>
    <t>MONTHLY_INCOME</t>
  </si>
  <si>
    <t>MONTHLY_SPEND</t>
  </si>
  <si>
    <t>Customer details - plan tenure, income, and monthly spend</t>
  </si>
  <si>
    <t>BYO_MONTHLY_SPEND</t>
  </si>
  <si>
    <t>NONBYO_MONTHLY_SPEND</t>
  </si>
  <si>
    <t>The monthly spend for the month of June across a sample of customers</t>
  </si>
  <si>
    <t>Before</t>
  </si>
  <si>
    <t>After</t>
  </si>
  <si>
    <t>The monthly spend for the month of June across a sample of customers before and after a promotion</t>
  </si>
  <si>
    <t>Row Labels</t>
  </si>
  <si>
    <t>Grand Total</t>
  </si>
  <si>
    <t>Sum of Total</t>
  </si>
  <si>
    <t>Column Labels</t>
  </si>
  <si>
    <t>Count of Total</t>
  </si>
  <si>
    <t>Observed</t>
  </si>
  <si>
    <t>Expected</t>
  </si>
  <si>
    <t>t-Test: Two-Sample Assuming Unequal Variances</t>
  </si>
  <si>
    <t>Variable 1</t>
  </si>
  <si>
    <t>Variable 2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</si>
  <si>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</si>
  <si>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</si>
  <si>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</si>
  <si>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</si>
  <si>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</si>
  <si>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</si>
  <si>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</si>
  <si>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</si>
  <si>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</si>
  <si>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</si>
  <si>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t-Test: Paired Two Sample for Means</t>
  </si>
  <si>
    <t>Pearson Correlation</t>
  </si>
  <si>
    <t>SUMMARY OUTPUT</t>
  </si>
  <si>
    <t>Regression Statistics</t>
  </si>
  <si>
    <t>Multiple R</t>
  </si>
  <si>
    <t>R Square</t>
  </si>
  <si>
    <t>Adjusted R Square</t>
  </si>
  <si>
    <t>Standard Error</t>
  </si>
  <si>
    <t>ANOVA</t>
  </si>
  <si>
    <t>Regression</t>
  </si>
  <si>
    <t>Residual</t>
  </si>
  <si>
    <t>Intercept</t>
  </si>
  <si>
    <t>SS</t>
  </si>
  <si>
    <t>MS</t>
  </si>
  <si>
    <t>F</t>
  </si>
  <si>
    <t>Significance F</t>
  </si>
  <si>
    <t>Coefficients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</si>
  <si>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</si>
  <si>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</si>
  <si>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</si>
  <si>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</si>
  <si>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</si>
  <si>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</si>
  <si>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</si>
  <si>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MONTHLY_SPEND</t>
  </si>
  <si>
    <t>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</si>
</sst>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2" borderId="0" applyNumberFormat="0" applyBorder="0" applyAlignment="0" applyProtection="0"/>
  </cellStyleXfs>
  <cellXfs count="21">
    <xf numFmtId="0" fontId="0" fillId="0" borderId="0" xfId="0"/>
    <xf numFmtId="0" fontId="3" fillId="3" borderId="0" xfId="2" applyFill="1"/>
    <xf numFmtId="14" fontId="4" fillId="0" borderId="0" xfId="0" applyNumberFormat="1" applyFont="1"/>
    <xf numFmtId="0" fontId="4" fillId="0" borderId="0" xfId="0" applyFont="1"/>
    <xf numFmtId="164" fontId="4" fillId="0" borderId="0" xfId="0" applyNumberFormat="1" applyFont="1"/>
    <xf numFmtId="9" fontId="4" fillId="0" borderId="0" xfId="1" applyFont="1" applyAlignment="1"/>
    <xf numFmtId="164" fontId="4" fillId="0" borderId="0" xfId="1" applyNumberFormat="1" applyFont="1" applyAlignment="1"/>
    <xf numFmtId="164" fontId="0" fillId="0" borderId="0" xfId="0" applyNumberFormat="1"/>
    <xf numFmtId="0" fontId="2" fillId="0" borderId="0" xfId="0" applyFont="1"/>
    <xf numFmtId="0" fontId="2" fillId="4" borderId="1" xfId="0" applyFont="1" applyFill="1" applyBorder="1"/>
    <xf numFmtId="0" fontId="2" fillId="4" borderId="2" xfId="0" applyFont="1" applyFill="1" applyBorder="1"/>
    <xf numFmtId="0" fontId="2" fillId="4" borderId="3" xfId="0" applyFont="1" applyFill="1" applyBorder="1"/>
    <xf numFmtId="0" fontId="0" fillId="4" borderId="2" xfId="0" applyFill="1" applyBorder="1"/>
    <xf numFmtId="0" fontId="0" fillId="4" borderId="3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Fill="1" applyBorder="1" applyAlignment="1"/>
    <xf numFmtId="0" fontId="0" fillId="0" borderId="4" xfId="0" applyFill="1" applyBorder="1" applyAlignment="1"/>
    <xf numFmtId="0" fontId="5" fillId="0" borderId="5" xfId="0" applyFont="1" applyFill="1" applyBorder="1" applyAlignment="1">
      <alignment horizontal="center"/>
    </xf>
    <xf numFmtId="0" fontId="5" fillId="0" borderId="5" xfId="0" applyFont="1" applyFill="1" applyBorder="1" applyAlignment="1">
      <alignment horizontal="centerContinuous"/>
    </xf>
  </cellXfs>
  <cellStyles count="3">
    <cellStyle name="Accent5" xfId="2" builtinId="45"/>
    <cellStyle name="Normal" xfId="0" builtinId="0"/>
    <cellStyle name="Percent" xfId="1" builtinId="5"/>
  </cellStyles>
  <dxfs count="25">
    <dxf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5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5" formatCode="d/mm/yyyy"/>
    </dxf>
    <dxf>
      <fill>
        <patternFill patternType="solid">
          <fgColor indexed="64"/>
          <bgColor theme="9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[C2Practice.xlsx]Pivot1!PivotTable1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Pivot1!$B$3:$B$4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Pivot1!$A$5:$A$8</c:f>
              <c:strCache>
                <c:ptCount val="3"/>
                <c:pt idx="0">
                  <c:v>NSW</c:v>
                </c:pt>
                <c:pt idx="1">
                  <c:v>VIC</c:v>
                </c:pt>
                <c:pt idx="2">
                  <c:v>WA</c:v>
                </c:pt>
              </c:strCache>
            </c:strRef>
          </c:cat>
          <c:val>
            <c:numRef>
              <c:f>Pivot1!$B$5:$B$8</c:f>
              <c:numCache>
                <c:formatCode>"$"#,##0.00</c:formatCode>
                <c:ptCount val="3"/>
                <c:pt idx="0">
                  <c:v>7365.2142000000003</c:v>
                </c:pt>
                <c:pt idx="1">
                  <c:v>480.01029999999997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B5-4E95-AE91-816D6327B426}"/>
            </c:ext>
          </c:extLst>
        </c:ser>
        <c:ser>
          <c:idx val="1"/>
          <c:order val="1"/>
          <c:tx>
            <c:strRef>
              <c:f>Pivot1!$C$3:$C$4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Pivot1!$A$5:$A$8</c:f>
              <c:strCache>
                <c:ptCount val="3"/>
                <c:pt idx="0">
                  <c:v>NSW</c:v>
                </c:pt>
                <c:pt idx="1">
                  <c:v>VIC</c:v>
                </c:pt>
                <c:pt idx="2">
                  <c:v>WA</c:v>
                </c:pt>
              </c:strCache>
            </c:strRef>
          </c:cat>
          <c:val>
            <c:numRef>
              <c:f>Pivot1!$C$5:$C$8</c:f>
              <c:numCache>
                <c:formatCode>"$"#,##0.00</c:formatCode>
                <c:ptCount val="3"/>
                <c:pt idx="0">
                  <c:v>21497.386162000003</c:v>
                </c:pt>
                <c:pt idx="1">
                  <c:v>3488.7065000000002</c:v>
                </c:pt>
                <c:pt idx="2">
                  <c:v>9.7153999999999989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B5-4E95-AE91-816D6327B426}"/>
            </c:ext>
          </c:extLst>
        </c:ser>
        <c:ser>
          <c:idx val="2"/>
          <c:order val="2"/>
          <c:tx>
            <c:strRef>
              <c:f>Pivot1!$D$3:$D$4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Pivot1!$A$5:$A$8</c:f>
              <c:strCache>
                <c:ptCount val="3"/>
                <c:pt idx="0">
                  <c:v>NSW</c:v>
                </c:pt>
                <c:pt idx="1">
                  <c:v>VIC</c:v>
                </c:pt>
                <c:pt idx="2">
                  <c:v>WA</c:v>
                </c:pt>
              </c:strCache>
            </c:strRef>
          </c:cat>
          <c:val>
            <c:numRef>
              <c:f>Pivot1!$D$5:$D$8</c:f>
              <c:numCache>
                <c:formatCode>"$"#,##0.00</c:formatCode>
                <c:ptCount val="3"/>
                <c:pt idx="0">
                  <c:v>6367.9770999999992</c:v>
                </c:pt>
                <c:pt idx="1">
                  <c:v>1351.4832000000001</c:v>
                </c:pt>
                <c:pt idx="2">
                  <c:v>611.60670000000005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B5-4E95-AE91-816D6327B426}"/>
            </c:ext>
          </c:extLst>
        </c:ser>
        <c:ser>
          <c:idx val="3"/>
          <c:order val="3"/>
          <c:tx>
            <c:strRef>
              <c:f>Pivot1!$E$3:$E$4</c:f>
              <c:strCache>
                <c:ptCount val="1"/>
                <c:pt idx="0">
                  <c:v>Small Business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Pivot1!$A$5:$A$8</c:f>
              <c:strCache>
                <c:ptCount val="3"/>
                <c:pt idx="0">
                  <c:v>NSW</c:v>
                </c:pt>
                <c:pt idx="1">
                  <c:v>VIC</c:v>
                </c:pt>
                <c:pt idx="2">
                  <c:v>WA</c:v>
                </c:pt>
              </c:strCache>
            </c:strRef>
          </c:cat>
          <c:val>
            <c:numRef>
              <c:f>Pivot1!$E$5:$E$8</c:f>
              <c:numCache>
                <c:formatCode>"$"#,##0.00</c:formatCode>
                <c:ptCount val="3"/>
                <c:pt idx="0">
                  <c:v>9830.3256999999994</c:v>
                </c:pt>
                <c:pt idx="1">
                  <c:v>206.81360000000001</c:v>
                </c:pt>
                <c:pt idx="2">
                  <c:v>264.08120000000002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B5-4E95-AE91-816D6327B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5939503"/>
        <c:axId val="1385934703"/>
      </c:barChart>
      <c:catAx>
        <c:axId val="138593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934703"/>
        <c:crosses val="autoZero"/>
        <c:auto val="1"/>
        <c:lblAlgn val="ctr"/>
        <c:lblOffset val="100"/>
        <c:noMultiLvlLbl val="0"/>
      </c:catAx>
      <c:valAx>
        <c:axId val="138593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939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866775</xdr:colOff>
      <xdr:row>9</xdr:row>
      <xdr:rowOff>85725</xdr:rowOff>
    </xdr:from>
    <xdr:to>
      <xdr:col>7</xdr:col>
      <xdr:colOff>400050</xdr:colOff>
      <xdr:row>23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E62B4B-EE9D-B888-4F5D-0321951E64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yan Johns" refreshedDate="46010.159544444447" createdVersion="8" refreshedVersion="8" minRefreshableVersion="3" recordCount="69" xr:uid="{2A82BCC8-BFA1-45E0-8034-7EE7C5B457A9}">
  <cacheSource type="worksheet">
    <worksheetSource name="Table1"/>
  </cacheSource>
  <cacheFields count="25">
    <cacheField name="Order No" numFmtId="0">
      <sharedItems count="69">
        <s v="5033-1"/>
        <s v="5034-1"/>
        <s v="5036-1"/>
        <s v="5037-1"/>
        <s v="5038-1"/>
        <s v="5039-1"/>
        <s v="5040-1"/>
        <s v="5043-1"/>
        <s v="5045-1"/>
        <s v="5047-1"/>
        <s v="5048-1"/>
        <s v="5049-1"/>
        <s v="5050-1"/>
        <s v="5052-1"/>
        <s v="5055-1"/>
        <s v="5057-1"/>
        <s v="5059-1"/>
        <s v="5060-1"/>
        <s v="5061-1"/>
        <s v="5062-1"/>
        <s v="5063-1"/>
        <s v="5064-1"/>
        <s v="5066-1"/>
        <s v="5068-1"/>
        <s v="5070-1"/>
        <s v="5071-1"/>
        <s v="5071-2"/>
        <s v="5075-1"/>
        <s v="5077-1"/>
        <s v="5079-1"/>
        <s v="5081-1"/>
        <s v="5084-1"/>
        <s v="5086-1"/>
        <s v="5087-1"/>
        <s v="5089-1"/>
        <s v="5091-1"/>
        <s v="5093-1"/>
        <s v="5095-1"/>
        <s v="5097-1"/>
        <s v="5099-1"/>
        <s v="5101-1"/>
        <s v="5103-1"/>
        <s v="5104-1"/>
        <s v="5106-1"/>
        <s v="5108-1"/>
        <s v="5109-1"/>
        <s v="5111-1"/>
        <s v="5112-1"/>
        <s v="5113-1"/>
        <s v="5114-1"/>
        <s v="5115-1"/>
        <s v="5117-1"/>
        <s v="5119-1"/>
        <s v="5120-1"/>
        <s v="5122-1"/>
        <s v="5124-1"/>
        <s v="5125-1"/>
        <s v="5127-1"/>
        <s v="5128-1"/>
        <s v="5129-1"/>
        <s v="5131-1"/>
        <s v="5133-1"/>
        <s v="5134-1"/>
        <s v="5135-1"/>
        <s v="5137-1"/>
        <s v="5138-1"/>
        <s v="5140-1"/>
        <s v="5142-1"/>
        <s v="5144-1"/>
      </sharedItems>
    </cacheField>
    <cacheField name="Order Date" numFmtId="14">
      <sharedItems containsSemiMixedTypes="0" containsNonDate="0" containsDate="1" containsString="0" minDate="2024-02-08T00:00:00" maxDate="2024-06-09T00:00:00"/>
    </cacheField>
    <cacheField name="Order Year" numFmtId="0">
      <sharedItems containsSemiMixedTypes="0" containsString="0" containsNumber="1" containsInteger="1" minValue="2024" maxValue="2024"/>
    </cacheField>
    <cacheField name="Customer Name" numFmtId="0">
      <sharedItems/>
    </cacheField>
    <cacheField name="Address" numFmtId="0">
      <sharedItems/>
    </cacheField>
    <cacheField name="City" numFmtId="0">
      <sharedItems/>
    </cacheField>
    <cacheField name="State" numFmtId="0">
      <sharedItems count="3">
        <s v="NSW"/>
        <s v="VIC"/>
        <s v="WA"/>
      </sharedItems>
    </cacheField>
    <cacheField name="Customer Type" numFmtId="0">
      <sharedItems count="4">
        <s v="Corporate"/>
        <s v="Home Office"/>
        <s v="Small Business"/>
        <s v="Consumer"/>
      </sharedItems>
    </cacheField>
    <cacheField name="Account Manager" numFmtId="0">
      <sharedItems/>
    </cacheField>
    <cacheField name="Order Priority" numFmtId="0">
      <sharedItems/>
    </cacheField>
    <cacheField name="Product Name" numFmtId="0">
      <sharedItems/>
    </cacheField>
    <cacheField name="Product Category" numFmtId="0">
      <sharedItems/>
    </cacheField>
    <cacheField name="Product Container" numFmtId="0">
      <sharedItems/>
    </cacheField>
    <cacheField name="Ship Mode" numFmtId="0">
      <sharedItems/>
    </cacheField>
    <cacheField name="Ship Date" numFmtId="14">
      <sharedItems containsSemiMixedTypes="0" containsNonDate="0" containsDate="1" containsString="0" minDate="2024-02-09T00:00:00" maxDate="2024-06-10T00:00:00"/>
    </cacheField>
    <cacheField name="Cost Price" numFmtId="164">
      <sharedItems containsSemiMixedTypes="0" containsString="0" containsNumber="1" minValue="0.71" maxValue="178.83"/>
    </cacheField>
    <cacheField name="Retail Price" numFmtId="164">
      <sharedItems containsSemiMixedTypes="0" containsString="0" containsNumber="1" minValue="1.1399999999999999" maxValue="415.88"/>
    </cacheField>
    <cacheField name="Profit Margin" numFmtId="164">
      <sharedItems containsSemiMixedTypes="0" containsString="0" containsNumber="1" minValue="0.35530000000000017" maxValue="237.04999999999998"/>
    </cacheField>
    <cacheField name="Order Quantity" numFmtId="0">
      <sharedItems containsSemiMixedTypes="0" containsString="0" containsNumber="1" containsInteger="1" minValue="1" maxValue="50"/>
    </cacheField>
    <cacheField name="Sub Total" numFmtId="164">
      <sharedItems containsSemiMixedTypes="0" containsString="0" containsNumber="1" minValue="1.88" maxValue="11436.86"/>
    </cacheField>
    <cacheField name="Discount %" numFmtId="9">
      <sharedItems containsSemiMixedTypes="0" containsString="0" containsNumber="1" minValue="0" maxValue="0.1"/>
    </cacheField>
    <cacheField name="Discount $" numFmtId="164">
      <sharedItems containsSemiMixedTypes="0" containsString="0" containsNumber="1" minValue="0" maxValue="1029.3173999999999"/>
    </cacheField>
    <cacheField name="Order Total" numFmtId="164">
      <sharedItems containsSemiMixedTypes="0" containsString="0" containsNumber="1" minValue="1.7859999999999998" maxValue="10407.542600000001"/>
    </cacheField>
    <cacheField name="Shipping Cost" numFmtId="164">
      <sharedItems containsSemiMixedTypes="0" containsString="0" containsNumber="1" minValue="0.5" maxValue="19.989999999999998"/>
    </cacheField>
    <cacheField name="Total" numFmtId="164">
      <sharedItems containsSemiMixedTypes="0" containsString="0" containsNumber="1" minValue="3.2759999999999998" maxValue="10414.7226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x v="0"/>
    <d v="2024-02-08T00:00:00"/>
    <n v="2024"/>
    <s v="Katherine Ducich"/>
    <s v="61A Bay Road,Wollstonecraft"/>
    <s v="Sydney"/>
    <x v="0"/>
    <x v="0"/>
    <s v="Samantha Chairs"/>
    <s v="Medium"/>
    <s v="TypeRight Side-Opening Peel &amp; Seel Expanding Envelopes"/>
    <s v="Office Supplies"/>
    <s v="Small Box"/>
    <s v="Regular Air"/>
    <d v="2024-02-10T00:00:00"/>
    <n v="54.29"/>
    <n v="90.48"/>
    <n v="36.190000000000005"/>
    <n v="3"/>
    <n v="271.44"/>
    <n v="0.03"/>
    <n v="8.1432000000000002"/>
    <n v="263.29680000000002"/>
    <n v="19.989999999999998"/>
    <n v="283.28680000000003"/>
  </r>
  <r>
    <x v="1"/>
    <d v="2024-02-09T00:00:00"/>
    <n v="2024"/>
    <s v="Natalie Webber"/>
    <s v="98-104 Parramatta Rd,Camperdown"/>
    <s v="Sydney"/>
    <x v="0"/>
    <x v="0"/>
    <s v="Phoebe Gour"/>
    <s v="High"/>
    <s v="Artisan Arch Ring Binders"/>
    <s v="Office Supplies"/>
    <s v="Small Box"/>
    <s v="Regular Air"/>
    <d v="2024-02-09T00:00:00"/>
    <n v="36.020000000000003"/>
    <n v="58.1"/>
    <n v="22.08"/>
    <n v="50"/>
    <n v="2905"/>
    <n v="0.05"/>
    <n v="145.25"/>
    <n v="2759.75"/>
    <n v="1.49"/>
    <n v="2761.24"/>
  </r>
  <r>
    <x v="2"/>
    <d v="2024-02-18T00:00:00"/>
    <n v="2024"/>
    <s v="Sean ODonnell"/>
    <s v="541 Church St ,Richmond"/>
    <s v="Melbourne"/>
    <x v="1"/>
    <x v="0"/>
    <s v="Yvette Biti"/>
    <s v="Critical"/>
    <s v="OIC Thumb-Tacks"/>
    <s v="Office Supplies"/>
    <s v="Wrap Bag"/>
    <s v="Regular Air"/>
    <d v="2024-02-21T00:00:00"/>
    <n v="0.71"/>
    <n v="1.1399999999999999"/>
    <n v="0.42999999999999994"/>
    <n v="50"/>
    <n v="56.999999999999993"/>
    <n v="0.06"/>
    <n v="3.4199999999999995"/>
    <n v="53.579999999999991"/>
    <n v="0.7"/>
    <n v="54.279999999999994"/>
  </r>
  <r>
    <x v="3"/>
    <d v="2024-02-22T00:00:00"/>
    <n v="2024"/>
    <s v="Art Foster"/>
    <s v="14 Money Street, Perth"/>
    <s v="Sydney"/>
    <x v="0"/>
    <x v="1"/>
    <s v="Stevie Bacata"/>
    <s v="Critical"/>
    <s v="Apex Elite Stainless Steel Scissors"/>
    <s v="Office Supplies"/>
    <s v="Small Pack"/>
    <s v="Regular Air"/>
    <d v="2024-02-24T00:00:00"/>
    <n v="3.42"/>
    <n v="8.34"/>
    <n v="4.92"/>
    <n v="16"/>
    <n v="133.44"/>
    <n v="0.03"/>
    <n v="4.0031999999999996"/>
    <n v="129.43680000000001"/>
    <n v="2.64"/>
    <n v="132.07679999999999"/>
  </r>
  <r>
    <x v="4"/>
    <d v="2024-02-24T00:00:00"/>
    <n v="2024"/>
    <s v="Darren Powers"/>
    <s v="120 Hardware St,Melbourne"/>
    <s v="Melbourne"/>
    <x v="1"/>
    <x v="0"/>
    <s v="Connor Betts"/>
    <s v="Low"/>
    <s v="OIC Thumb-Tacks"/>
    <s v="Office Supplies"/>
    <s v="Wrap Bag"/>
    <s v="Regular Air"/>
    <d v="2024-02-24T00:00:00"/>
    <n v="0.71"/>
    <n v="1.1399999999999999"/>
    <n v="0.42999999999999994"/>
    <n v="38"/>
    <n v="43.319999999999993"/>
    <n v="0.02"/>
    <n v="0.86639999999999984"/>
    <n v="42.453599999999994"/>
    <n v="0.7"/>
    <n v="43.153599999999997"/>
  </r>
  <r>
    <x v="5"/>
    <d v="2024-02-26T00:00:00"/>
    <n v="2024"/>
    <s v="Michael Grace"/>
    <s v="402 Argyle St,Moss Vale"/>
    <s v="Sydney"/>
    <x v="0"/>
    <x v="0"/>
    <s v="Natasha Song"/>
    <s v="Medium"/>
    <s v="Alto Parchment Paper, Assorted Colors"/>
    <s v="Office Supplies"/>
    <s v="Small Box"/>
    <s v="Regular Air"/>
    <d v="2024-02-27T00:00:00"/>
    <n v="4.59"/>
    <n v="7.28"/>
    <n v="2.6900000000000004"/>
    <n v="22"/>
    <n v="160.16"/>
    <n v="0.01"/>
    <n v="1.6015999999999999"/>
    <n v="158.55840000000001"/>
    <n v="11.15"/>
    <n v="169.70840000000001"/>
  </r>
  <r>
    <x v="6"/>
    <d v="2024-02-27T00:00:00"/>
    <n v="2024"/>
    <s v="Christina Vanderzanden"/>
    <s v="188 Pitt Street,Sydney"/>
    <s v="Sydney"/>
    <x v="0"/>
    <x v="2"/>
    <s v="Tina Carlton"/>
    <s v="Low"/>
    <s v="Steady Colorific Colored Pencils, 12/Box"/>
    <s v="Office Supplies"/>
    <s v="Wrap Bag"/>
    <s v="Regular Air"/>
    <d v="2024-03-02T00:00:00"/>
    <n v="1.3"/>
    <n v="2.88"/>
    <n v="1.5799999999999998"/>
    <n v="48"/>
    <n v="138.24"/>
    <n v="7.0000000000000007E-2"/>
    <n v="9.6768000000000018"/>
    <n v="128.56319999999999"/>
    <n v="1.01"/>
    <n v="129.57319999999999"/>
  </r>
  <r>
    <x v="7"/>
    <d v="2024-03-05T00:00:00"/>
    <n v="2024"/>
    <s v="Aaron Smayling"/>
    <s v="1737 Botany Rd,Banksmeadow"/>
    <s v="Sydney"/>
    <x v="0"/>
    <x v="2"/>
    <s v="Nicholas Fernandes"/>
    <s v="High"/>
    <s v="Smiths Gold Paper Clips"/>
    <s v="Office Supplies"/>
    <s v="Wrap Bag"/>
    <s v="Regular Air"/>
    <d v="2024-03-08T00:00:00"/>
    <n v="1.82"/>
    <n v="2.98"/>
    <n v="1.1599999999999999"/>
    <n v="22"/>
    <n v="65.56"/>
    <n v="0.04"/>
    <n v="2.6224000000000003"/>
    <n v="62.937600000000003"/>
    <n v="1.58"/>
    <n v="64.517600000000002"/>
  </r>
  <r>
    <x v="8"/>
    <d v="2024-03-08T00:00:00"/>
    <n v="2024"/>
    <s v="Mick Brown"/>
    <s v="523 King St,Newtown"/>
    <s v="Sydney"/>
    <x v="0"/>
    <x v="3"/>
    <s v="Aanya Zhang"/>
    <s v="Not Specified"/>
    <s v="UGen RF Keyboard"/>
    <s v="Technology"/>
    <s v="Small Box"/>
    <s v="Regular Air"/>
    <d v="2024-03-10T00:00:00"/>
    <n v="81.59"/>
    <n v="159.99"/>
    <n v="78.400000000000006"/>
    <n v="30"/>
    <n v="4799.7000000000007"/>
    <n v="0.01"/>
    <n v="47.997000000000007"/>
    <n v="4751.7030000000004"/>
    <n v="5.5"/>
    <n v="4757.2030000000004"/>
  </r>
  <r>
    <x v="9"/>
    <d v="2024-03-09T00:00:00"/>
    <n v="2024"/>
    <s v="Edward Becker"/>
    <s v="501 George St,Sydney"/>
    <s v="Sydney"/>
    <x v="0"/>
    <x v="1"/>
    <s v="Samantha Chairs"/>
    <s v="Low"/>
    <s v="Artisan Printable Repositionable Plastic Tabs"/>
    <s v="Office Supplies"/>
    <s v="Small Box"/>
    <s v="Regular Air"/>
    <d v="2024-03-16T00:00:00"/>
    <n v="5.33"/>
    <n v="8.6"/>
    <n v="3.2699999999999996"/>
    <n v="37"/>
    <n v="318.2"/>
    <n v="0.04"/>
    <n v="12.728"/>
    <n v="305.47199999999998"/>
    <n v="6.19"/>
    <n v="311.66199999999998"/>
  </r>
  <r>
    <x v="10"/>
    <d v="2024-03-09T00:00:00"/>
    <n v="2024"/>
    <s v="Erica Smith"/>
    <s v="188 Pitt Street,Sydney"/>
    <s v="Sydney"/>
    <x v="0"/>
    <x v="2"/>
    <s v="Tina Carlton"/>
    <s v="Medium"/>
    <s v="Smiths Standard Envelopes"/>
    <s v="Office Supplies"/>
    <s v="Small Box"/>
    <s v="Regular Air"/>
    <d v="2024-03-09T00:00:00"/>
    <n v="3.52"/>
    <n v="5.68"/>
    <n v="2.1599999999999997"/>
    <n v="24"/>
    <n v="136.32"/>
    <n v="0.06"/>
    <n v="8.1791999999999998"/>
    <n v="128.14079999999998"/>
    <n v="1.39"/>
    <n v="129.53079999999997"/>
  </r>
  <r>
    <x v="11"/>
    <d v="2024-03-12T00:00:00"/>
    <n v="2024"/>
    <s v="Justin Knight"/>
    <s v="Macquarie Centre Cnr Herring Road &amp; Waterloo Road,Macquarie Park"/>
    <s v="Sydney"/>
    <x v="0"/>
    <x v="0"/>
    <s v="Nicholas Fernandes"/>
    <s v="Not Specified"/>
    <s v="Office Shears by Apex"/>
    <s v="Office Supplies"/>
    <s v="Small Pack"/>
    <s v="Regular Air"/>
    <d v="2024-03-13T00:00:00"/>
    <n v="0.94"/>
    <n v="2.08"/>
    <n v="1.1400000000000001"/>
    <n v="4"/>
    <n v="8.32"/>
    <n v="0.02"/>
    <n v="0.16640000000000002"/>
    <n v="8.1536000000000008"/>
    <n v="2.56"/>
    <n v="10.713600000000001"/>
  </r>
  <r>
    <x v="12"/>
    <d v="2024-04-01T00:00:00"/>
    <n v="2024"/>
    <s v="Craig Carroll"/>
    <s v="99 Lygon Street,East Brunswick"/>
    <s v="Melbourne"/>
    <x v="1"/>
    <x v="0"/>
    <s v="Connor Betts"/>
    <s v="Not Specified"/>
    <s v="Artisan Printable Repositionable Plastic Tabs"/>
    <s v="Office Supplies"/>
    <s v="Small Box"/>
    <s v="Regular Air"/>
    <d v="2024-04-02T00:00:00"/>
    <n v="5.33"/>
    <n v="8.6"/>
    <n v="3.2699999999999996"/>
    <n v="36"/>
    <n v="309.59999999999997"/>
    <n v="0.06"/>
    <n v="18.575999999999997"/>
    <n v="291.02399999999994"/>
    <n v="6.19"/>
    <n v="297.21399999999994"/>
  </r>
  <r>
    <x v="13"/>
    <d v="2024-04-02T00:00:00"/>
    <n v="2024"/>
    <s v="Laura Armstrong"/>
    <s v="240-242 Johnston Street,Fitzroy"/>
    <s v="Melbourne"/>
    <x v="1"/>
    <x v="2"/>
    <s v="Connor Betts"/>
    <s v="Not Specified"/>
    <s v="EcoTones Memo Sheets"/>
    <s v="Office Supplies"/>
    <s v="Wrap Bag"/>
    <s v="Regular Air"/>
    <d v="2024-04-04T00:00:00"/>
    <n v="2.52"/>
    <n v="4"/>
    <n v="1.48"/>
    <n v="31"/>
    <n v="124"/>
    <n v="0.01"/>
    <n v="1.24"/>
    <n v="122.76"/>
    <n v="1.3"/>
    <n v="124.06"/>
  </r>
  <r>
    <x v="14"/>
    <d v="2024-04-09T00:00:00"/>
    <n v="2024"/>
    <s v="Noah Childs"/>
    <s v="78 Stanley St,Darlinghurst"/>
    <s v="Sydney"/>
    <x v="0"/>
    <x v="1"/>
    <s v="Phoebe Gour"/>
    <s v="High"/>
    <s v="Smiths Premium Bright 1-Part Blank Computer Paper"/>
    <s v="Office Supplies"/>
    <s v="Small Box"/>
    <s v="Express Air"/>
    <d v="2024-04-10T00:00:00"/>
    <n v="7.61"/>
    <n v="12.28"/>
    <n v="4.669999999999999"/>
    <n v="29"/>
    <n v="356.12"/>
    <n v="0"/>
    <n v="0"/>
    <n v="356.12"/>
    <n v="6.35"/>
    <n v="362.47"/>
  </r>
  <r>
    <x v="15"/>
    <d v="2024-04-10T00:00:00"/>
    <n v="2024"/>
    <s v="Rob Haberlin"/>
    <s v="8 Rankins Lane ,Melbourne"/>
    <s v="Melbourne"/>
    <x v="1"/>
    <x v="0"/>
    <s v="Connor Betts"/>
    <s v="Medium"/>
    <s v="Artisan 479 Labels"/>
    <s v="Office Supplies"/>
    <s v="Small Box"/>
    <s v="Regular Air"/>
    <d v="2024-04-12T00:00:00"/>
    <n v="1.59"/>
    <n v="2.61"/>
    <n v="1.0199999999999998"/>
    <n v="9"/>
    <n v="23.49"/>
    <n v="0.06"/>
    <n v="1.4093999999999998"/>
    <n v="22.080599999999997"/>
    <n v="0.5"/>
    <n v="22.580599999999997"/>
  </r>
  <r>
    <x v="16"/>
    <d v="2024-04-10T00:00:00"/>
    <n v="2024"/>
    <s v="Barry Weirich"/>
    <s v="1/20 Pendal Lane, Perth"/>
    <s v="Sydney"/>
    <x v="0"/>
    <x v="0"/>
    <s v="Charlie Bui"/>
    <s v="Medium"/>
    <s v="Beekin 105-Key Black Keyboard"/>
    <s v="Technology"/>
    <s v="Small Box"/>
    <s v="Regular Air"/>
    <d v="2024-04-10T00:00:00"/>
    <n v="6.39"/>
    <n v="19.98"/>
    <n v="13.59"/>
    <n v="7"/>
    <n v="139.86000000000001"/>
    <n v="0.01"/>
    <n v="1.3986000000000001"/>
    <n v="138.46140000000003"/>
    <n v="4"/>
    <n v="142.46140000000003"/>
  </r>
  <r>
    <x v="17"/>
    <d v="2024-04-12T00:00:00"/>
    <n v="2024"/>
    <s v="Kelly Williams"/>
    <s v="499-501 Lygon Street,Carlton North"/>
    <s v="Melbourne"/>
    <x v="1"/>
    <x v="0"/>
    <s v="Yvette Biti"/>
    <s v="Medium"/>
    <s v="Adesso Programmable 142-Key Keyboard"/>
    <s v="Technology"/>
    <s v="Small Box"/>
    <s v="Express Air"/>
    <d v="2024-04-13T00:00:00"/>
    <n v="32.020000000000003"/>
    <n v="152.47999999999999"/>
    <n v="120.45999999999998"/>
    <n v="16"/>
    <n v="2439.6799999999998"/>
    <n v="0.1"/>
    <n v="243.96799999999999"/>
    <n v="2195.712"/>
    <n v="4"/>
    <n v="2199.712"/>
  </r>
  <r>
    <x v="18"/>
    <d v="2024-04-12T00:00:00"/>
    <n v="2024"/>
    <s v="Jack OBriant"/>
    <s v="85-113 Dunning Ave,Rosebery"/>
    <s v="Sydney"/>
    <x v="0"/>
    <x v="2"/>
    <s v="Mihael Khan"/>
    <s v="Not Specified"/>
    <s v="Smiths Premium Bright 1-Part Blank Computer Paper"/>
    <s v="Office Supplies"/>
    <s v="Small Box"/>
    <s v="Regular Air"/>
    <d v="2024-04-14T00:00:00"/>
    <n v="7.61"/>
    <n v="12.28"/>
    <n v="4.669999999999999"/>
    <n v="27"/>
    <n v="331.56"/>
    <n v="0.03"/>
    <n v="9.9467999999999996"/>
    <n v="321.61320000000001"/>
    <n v="6.35"/>
    <n v="327.96320000000003"/>
  </r>
  <r>
    <x v="19"/>
    <d v="2024-04-12T00:00:00"/>
    <n v="2024"/>
    <s v="Pamela Stobb"/>
    <s v="273 George Street,Sydney"/>
    <s v="Sydney"/>
    <x v="0"/>
    <x v="3"/>
    <s v="Leighton Forrest"/>
    <s v="Not Specified"/>
    <s v="TechSavi Access Keyboard"/>
    <s v="Technology"/>
    <s v="Small Box"/>
    <s v="Regular Air"/>
    <d v="2024-04-14T00:00:00"/>
    <n v="10.07"/>
    <n v="15.98"/>
    <n v="5.91"/>
    <n v="39"/>
    <n v="623.22"/>
    <n v="0.09"/>
    <n v="56.089800000000004"/>
    <n v="567.13020000000006"/>
    <n v="4"/>
    <n v="571.13020000000006"/>
  </r>
  <r>
    <x v="20"/>
    <d v="2024-04-13T00:00:00"/>
    <n v="2024"/>
    <s v="William Brown"/>
    <s v="3 Carrington Road ,Box Hill"/>
    <s v="Melbourne"/>
    <x v="1"/>
    <x v="0"/>
    <s v="Yvette Biti"/>
    <s v="Not Specified"/>
    <s v="Smiths SlimLine Pencil Sharpener"/>
    <s v="Office Supplies"/>
    <s v="Small Pack"/>
    <s v="Regular Air"/>
    <d v="2024-04-15T00:00:00"/>
    <n v="4.79"/>
    <n v="11.97"/>
    <n v="7.1800000000000006"/>
    <n v="7"/>
    <n v="83.79"/>
    <n v="0.05"/>
    <n v="4.1895000000000007"/>
    <n v="79.600500000000011"/>
    <n v="5.81"/>
    <n v="85.410500000000013"/>
  </r>
  <r>
    <x v="21"/>
    <d v="2024-04-14T00:00:00"/>
    <n v="2024"/>
    <s v="Nat Carroll"/>
    <s v="499-501 Lygon Street,Carlton North"/>
    <s v="Melbourne"/>
    <x v="1"/>
    <x v="1"/>
    <s v="Yvette Biti"/>
    <s v="Not Specified"/>
    <s v="Artisan Premier Heavy-Duty Binder with Round Locking Rings"/>
    <s v="Office Supplies"/>
    <s v="Small Box"/>
    <s v="Regular Air"/>
    <d v="2024-04-15T00:00:00"/>
    <n v="8.7100000000000009"/>
    <n v="14.28"/>
    <n v="5.5699999999999985"/>
    <n v="42"/>
    <n v="599.76"/>
    <n v="0.1"/>
    <n v="59.975999999999999"/>
    <n v="539.78399999999999"/>
    <n v="2.99"/>
    <n v="542.774"/>
  </r>
  <r>
    <x v="22"/>
    <d v="2024-04-14T00:00:00"/>
    <n v="2024"/>
    <s v="Troy Staebel"/>
    <s v="1-2/299 Sussex St,Sydney"/>
    <s v="Sydney"/>
    <x v="0"/>
    <x v="2"/>
    <s v="Aanya Zhang"/>
    <s v="Critical"/>
    <s v="TypeRight Side-Opening Peel &amp; Seel Expanding Envelopes"/>
    <s v="Office Supplies"/>
    <s v="Small Box"/>
    <s v="Regular Air"/>
    <d v="2024-04-15T00:00:00"/>
    <n v="54.29"/>
    <n v="90.48"/>
    <n v="36.190000000000005"/>
    <n v="15"/>
    <n v="1357.2"/>
    <n v="0.05"/>
    <n v="67.86"/>
    <n v="1289.3400000000001"/>
    <n v="19.989999999999998"/>
    <n v="1309.3300000000002"/>
  </r>
  <r>
    <x v="23"/>
    <d v="2024-04-15T00:00:00"/>
    <n v="2024"/>
    <s v="Dario Medina"/>
    <s v="60 York St,Sydney"/>
    <s v="Sydney"/>
    <x v="0"/>
    <x v="2"/>
    <s v="Charlie Bui"/>
    <s v="Critical"/>
    <s v="Smiths Standard Envelopes"/>
    <s v="Office Supplies"/>
    <s v="Small Box"/>
    <s v="Regular Air"/>
    <d v="2024-04-17T00:00:00"/>
    <n v="3.52"/>
    <n v="5.68"/>
    <n v="2.1599999999999997"/>
    <n v="20"/>
    <n v="113.6"/>
    <n v="7.0000000000000007E-2"/>
    <n v="7.952"/>
    <n v="105.648"/>
    <n v="1.39"/>
    <n v="107.038"/>
  </r>
  <r>
    <x v="24"/>
    <d v="2024-04-16T00:00:00"/>
    <n v="2024"/>
    <s v="Lynn Smith"/>
    <s v="61A Bay Road,Wollstonecraft"/>
    <s v="Sydney"/>
    <x v="0"/>
    <x v="0"/>
    <s v="Samantha Chairs"/>
    <s v="Critical"/>
    <s v="Steady Liquid Accent Highlighters"/>
    <s v="Office Supplies"/>
    <s v="Wrap Bag"/>
    <s v="Regular Air"/>
    <d v="2024-04-18T00:00:00"/>
    <n v="3.47"/>
    <n v="6.68"/>
    <n v="3.2099999999999995"/>
    <n v="41"/>
    <n v="273.88"/>
    <n v="0.08"/>
    <n v="21.910399999999999"/>
    <n v="251.96959999999999"/>
    <n v="1.5"/>
    <n v="253.46959999999999"/>
  </r>
  <r>
    <x v="25"/>
    <d v="2024-04-17T00:00:00"/>
    <n v="2024"/>
    <s v="Christopher Schild"/>
    <s v="4A Lyons St,Strathfield"/>
    <s v="Sydney"/>
    <x v="0"/>
    <x v="0"/>
    <s v="Tina Carlton"/>
    <s v="Medium"/>
    <s v="Laser Neon Mac Format Diskettes, 10/Pack"/>
    <s v="Technology"/>
    <s v="Small Pack"/>
    <s v="Regular Air"/>
    <d v="2024-04-18T00:00:00"/>
    <n v="1.87"/>
    <n v="2.2253000000000003"/>
    <n v="0.35530000000000017"/>
    <n v="41"/>
    <n v="91.237300000000005"/>
    <n v="0.06"/>
    <n v="5.4742379999999997"/>
    <n v="85.763062000000005"/>
    <n v="2.83"/>
    <n v="88.593062000000003"/>
  </r>
  <r>
    <x v="26"/>
    <d v="2024-04-17T00:00:00"/>
    <n v="2024"/>
    <s v="Christopher Schild"/>
    <s v="4A Lyons St,Strathfield"/>
    <s v="Sydney"/>
    <x v="0"/>
    <x v="0"/>
    <s v="Tina Carlton"/>
    <s v="Medium"/>
    <s v="Steady Liquid Accent Highlighters"/>
    <s v="Office Supplies"/>
    <s v="Wrap Bag"/>
    <s v="Regular Air"/>
    <d v="2024-04-18T00:00:00"/>
    <n v="3.47"/>
    <n v="6.68"/>
    <n v="3.2099999999999995"/>
    <n v="2"/>
    <n v="13.36"/>
    <n v="0.01"/>
    <n v="0.1336"/>
    <n v="13.2264"/>
    <n v="1.5"/>
    <n v="14.7264"/>
  </r>
  <r>
    <x v="27"/>
    <d v="2024-04-17T00:00:00"/>
    <n v="2024"/>
    <s v="Dave Kipp"/>
    <s v="221 Barkly St,St Kilda"/>
    <s v="Melbourne"/>
    <x v="1"/>
    <x v="0"/>
    <s v="Yvette Biti"/>
    <s v="Low"/>
    <s v="TechSavi Access Keyboard"/>
    <s v="Technology"/>
    <s v="Small Box"/>
    <s v="Regular Air"/>
    <d v="2024-04-22T00:00:00"/>
    <n v="10.07"/>
    <n v="15.98"/>
    <n v="5.91"/>
    <n v="34"/>
    <n v="543.32000000000005"/>
    <n v="0.1"/>
    <n v="54.332000000000008"/>
    <n v="488.98800000000006"/>
    <n v="4"/>
    <n v="492.98800000000006"/>
  </r>
  <r>
    <x v="28"/>
    <d v="2024-04-19T00:00:00"/>
    <n v="2024"/>
    <s v="Grant Carroll"/>
    <s v="10 O'Connell St,Sydney"/>
    <s v="Sydney"/>
    <x v="0"/>
    <x v="2"/>
    <s v="Aanya Zhang"/>
    <s v="Not Specified"/>
    <s v="Smiths SlimLine Pencil Sharpener"/>
    <s v="Office Supplies"/>
    <s v="Small Pack"/>
    <s v="Regular Air"/>
    <d v="2024-04-21T00:00:00"/>
    <n v="4.79"/>
    <n v="11.97"/>
    <n v="7.1800000000000006"/>
    <n v="18"/>
    <n v="215.46"/>
    <n v="0.08"/>
    <n v="17.236800000000002"/>
    <n v="198.22320000000002"/>
    <n v="5.81"/>
    <n v="204.03320000000002"/>
  </r>
  <r>
    <x v="29"/>
    <d v="2024-04-21T00:00:00"/>
    <n v="2024"/>
    <s v="Liz Pelletier"/>
    <s v="79 Elliott St,Balmain"/>
    <s v="Sydney"/>
    <x v="0"/>
    <x v="1"/>
    <s v="Aanya Zhang"/>
    <s v="Critical"/>
    <s v="1726 Digital Answering Machine"/>
    <s v="Technology"/>
    <s v="Medium Box"/>
    <s v="Express Air"/>
    <d v="2024-04-22T00:00:00"/>
    <n v="8.82"/>
    <n v="20.99"/>
    <n v="12.169999999999998"/>
    <n v="8"/>
    <n v="167.92"/>
    <n v="0.09"/>
    <n v="15.112799999999998"/>
    <n v="152.80719999999999"/>
    <n v="4.8099999999999996"/>
    <n v="157.6172"/>
  </r>
  <r>
    <x v="30"/>
    <d v="2024-04-21T00:00:00"/>
    <n v="2024"/>
    <s v="Thea Hudgings"/>
    <s v="240-242 Johnston Street,Fitzroy"/>
    <s v="Melbourne"/>
    <x v="1"/>
    <x v="3"/>
    <s v="Connor Betts"/>
    <s v="Critical"/>
    <s v="Pizazz Dustless Chalk Sticks"/>
    <s v="Office Supplies"/>
    <s v="Wrap Bag"/>
    <s v="Regular Air"/>
    <d v="2024-04-23T00:00:00"/>
    <n v="1.0900000000000001"/>
    <n v="1.68"/>
    <n v="0.58999999999999986"/>
    <n v="18"/>
    <n v="30.24"/>
    <n v="0.06"/>
    <n v="1.8143999999999998"/>
    <n v="28.425599999999999"/>
    <n v="1"/>
    <n v="29.425599999999999"/>
  </r>
  <r>
    <x v="31"/>
    <d v="2024-04-25T00:00:00"/>
    <n v="2024"/>
    <s v="Alex Russell"/>
    <s v="101/12 Victoria Ave, Perth"/>
    <s v="Melbourne"/>
    <x v="1"/>
    <x v="1"/>
    <s v="Connor Betts"/>
    <s v="Medium"/>
    <s v="EcoTones Memo Sheets"/>
    <s v="Office Supplies"/>
    <s v="Wrap Bag"/>
    <s v="Express Air"/>
    <d v="2024-04-27T00:00:00"/>
    <n v="2.52"/>
    <n v="4"/>
    <n v="1.48"/>
    <n v="19"/>
    <n v="76"/>
    <n v="0.09"/>
    <n v="6.84"/>
    <n v="69.16"/>
    <n v="1.3"/>
    <n v="70.459999999999994"/>
  </r>
  <r>
    <x v="32"/>
    <d v="2024-04-26T00:00:00"/>
    <n v="2024"/>
    <s v="Eudokia Martin"/>
    <s v="412 Brunswick St,Fitzroy"/>
    <s v="Melbourne"/>
    <x v="1"/>
    <x v="1"/>
    <s v="Connor Betts"/>
    <s v="High"/>
    <s v="Artisan Flip-Chart Easel Binder, Black"/>
    <s v="Office Supplies"/>
    <s v="Small Box"/>
    <s v="Regular Air"/>
    <d v="2024-04-27T00:00:00"/>
    <n v="13.88"/>
    <n v="22.38"/>
    <n v="8.4999999999999982"/>
    <n v="26"/>
    <n v="581.88"/>
    <n v="0.1"/>
    <n v="58.188000000000002"/>
    <n v="523.69200000000001"/>
    <n v="15.1"/>
    <n v="538.79200000000003"/>
  </r>
  <r>
    <x v="33"/>
    <d v="2024-04-26T00:00:00"/>
    <n v="2024"/>
    <s v="Scot Wooten"/>
    <s v="438 Victoria Avenue,Chatswood"/>
    <s v="Sydney"/>
    <x v="0"/>
    <x v="0"/>
    <s v="Natasha Song"/>
    <s v="Not Specified"/>
    <s v="DrawIt Colored Pencils, 48-Color Set"/>
    <s v="Office Supplies"/>
    <s v="Wrap Bag"/>
    <s v="Regular Air"/>
    <d v="2024-04-28T00:00:00"/>
    <n v="21.56"/>
    <n v="36.549999999999997"/>
    <n v="14.989999999999998"/>
    <n v="45"/>
    <n v="1644.7499999999998"/>
    <n v="0.1"/>
    <n v="164.47499999999999"/>
    <n v="1480.2749999999999"/>
    <n v="13.89"/>
    <n v="1494.165"/>
  </r>
  <r>
    <x v="34"/>
    <d v="2024-04-27T00:00:00"/>
    <n v="2024"/>
    <s v="Jenna Caffey"/>
    <s v="470 Anzac Parade,Kingsford"/>
    <s v="Sydney"/>
    <x v="0"/>
    <x v="3"/>
    <s v="Tina Carlton"/>
    <s v="High"/>
    <s v="600 Series Non-Flip"/>
    <s v="Technology"/>
    <s v="Small Box"/>
    <s v="Express Air"/>
    <d v="2024-04-28T00:00:00"/>
    <n v="19.78"/>
    <n v="45.99"/>
    <n v="26.21"/>
    <n v="14"/>
    <n v="643.86"/>
    <n v="0.02"/>
    <n v="12.8772"/>
    <n v="630.9828"/>
    <n v="4.99"/>
    <n v="635.97280000000001"/>
  </r>
  <r>
    <x v="35"/>
    <d v="2024-05-01T00:00:00"/>
    <n v="2024"/>
    <s v="Brad Thomas"/>
    <s v="152 Bunnerong Road,Eastgardens"/>
    <s v="Sydney"/>
    <x v="0"/>
    <x v="1"/>
    <s v="Tina Carlton"/>
    <s v="High"/>
    <s v="210 Trimline Phone, White"/>
    <s v="Technology"/>
    <s v="Medium Box"/>
    <s v="Regular Air"/>
    <d v="2024-05-02T00:00:00"/>
    <n v="9.91"/>
    <n v="15.99"/>
    <n v="6.08"/>
    <n v="7"/>
    <n v="111.93"/>
    <n v="0.03"/>
    <n v="3.3578999999999999"/>
    <n v="108.57210000000001"/>
    <n v="11.28"/>
    <n v="119.85210000000001"/>
  </r>
  <r>
    <x v="36"/>
    <d v="2024-05-01T00:00:00"/>
    <n v="2024"/>
    <s v="Nat Carroll"/>
    <s v="499-501 Lygon Street,Carlton North"/>
    <s v="Melbourne"/>
    <x v="1"/>
    <x v="1"/>
    <s v="Yvette Biti"/>
    <s v="Not Specified"/>
    <s v="Steady Major Accent Highlighters"/>
    <s v="Office Supplies"/>
    <s v="Wrap Bag"/>
    <s v="Regular Air"/>
    <d v="2024-05-02T00:00:00"/>
    <n v="3.75"/>
    <n v="7.08"/>
    <n v="3.33"/>
    <n v="29"/>
    <n v="205.32"/>
    <n v="0.04"/>
    <n v="8.2127999999999997"/>
    <n v="197.10720000000001"/>
    <n v="2.35"/>
    <n v="199.4572"/>
  </r>
  <r>
    <x v="37"/>
    <d v="2024-05-02T00:00:00"/>
    <n v="2024"/>
    <s v="Roy Skaria"/>
    <s v="2/797 Botany Rd,Rosebery"/>
    <s v="Sydney"/>
    <x v="0"/>
    <x v="0"/>
    <s v="Samantha Chairs"/>
    <s v="High"/>
    <s v="Aluminum Document Frame"/>
    <s v="Furniture"/>
    <s v="Small Pack"/>
    <s v="Regular Air"/>
    <d v="2024-05-03T00:00:00"/>
    <n v="5.5"/>
    <n v="12.22"/>
    <n v="6.7200000000000006"/>
    <n v="35"/>
    <n v="427.70000000000005"/>
    <n v="0"/>
    <n v="0"/>
    <n v="427.70000000000005"/>
    <n v="2.85"/>
    <n v="430.55000000000007"/>
  </r>
  <r>
    <x v="38"/>
    <d v="2024-05-02T00:00:00"/>
    <n v="2024"/>
    <s v="Brad Eason"/>
    <s v="1737 Botany Rd,Banksmeadow"/>
    <s v="Sydney"/>
    <x v="0"/>
    <x v="2"/>
    <s v="Nicholas Fernandes"/>
    <s v="Not Specified"/>
    <s v="Artisan Legal 4-Ring Binder"/>
    <s v="Office Supplies"/>
    <s v="Small Box"/>
    <s v="Regular Air"/>
    <d v="2024-05-04T00:00:00"/>
    <n v="13.64"/>
    <n v="20.98"/>
    <n v="7.34"/>
    <n v="47"/>
    <n v="986.06000000000006"/>
    <n v="0.1"/>
    <n v="98.606000000000009"/>
    <n v="887.45400000000006"/>
    <n v="1.49"/>
    <n v="888.94400000000007"/>
  </r>
  <r>
    <x v="39"/>
    <d v="2024-05-03T00:00:00"/>
    <n v="2024"/>
    <s v="Dave Kipp"/>
    <s v="221 Barkly St,St Kilda"/>
    <s v="Melbourne"/>
    <x v="1"/>
    <x v="3"/>
    <s v="Yvette Biti"/>
    <s v="High"/>
    <s v="Apex Elite Stainless Steel Scissors"/>
    <s v="Office Supplies"/>
    <s v="Small Pack"/>
    <s v="Regular Air"/>
    <d v="2024-05-03T00:00:00"/>
    <n v="3.42"/>
    <n v="8.34"/>
    <n v="4.92"/>
    <n v="24"/>
    <n v="200.16"/>
    <n v="0.1"/>
    <n v="20.016000000000002"/>
    <n v="180.14400000000001"/>
    <n v="2.64"/>
    <n v="182.78399999999999"/>
  </r>
  <r>
    <x v="40"/>
    <d v="2024-05-04T00:00:00"/>
    <n v="2024"/>
    <s v="Thais Sissman"/>
    <s v="8 Orange Street"/>
    <s v="Perth"/>
    <x v="2"/>
    <x v="2"/>
    <s v="Tina Carlton"/>
    <s v="Critical"/>
    <s v="Alto Parchment Paper, Assorted Colors"/>
    <s v="Office Supplies"/>
    <s v="Small Box"/>
    <s v="Express Air"/>
    <d v="2024-05-05T00:00:00"/>
    <n v="4.59"/>
    <n v="7.28"/>
    <n v="2.6900000000000004"/>
    <n v="2"/>
    <n v="14.56"/>
    <n v="0.08"/>
    <n v="1.1648000000000001"/>
    <n v="13.395200000000001"/>
    <n v="11.15"/>
    <n v="24.545200000000001"/>
  </r>
  <r>
    <x v="41"/>
    <d v="2024-05-04T00:00:00"/>
    <n v="2024"/>
    <s v="Andy Reiter"/>
    <s v="30 Wellington Street, Perth"/>
    <s v="Melbourne"/>
    <x v="1"/>
    <x v="0"/>
    <s v="Yvette Biti"/>
    <s v="Critical"/>
    <s v="Smiths General Use 3-Ring Binders"/>
    <s v="Office Supplies"/>
    <s v="Small Box"/>
    <s v="Regular Air"/>
    <d v="2024-05-06T00:00:00"/>
    <n v="1.18"/>
    <n v="1.88"/>
    <n v="0.7"/>
    <n v="1"/>
    <n v="1.88"/>
    <n v="0.05"/>
    <n v="9.4E-2"/>
    <n v="1.7859999999999998"/>
    <n v="1.49"/>
    <n v="3.2759999999999998"/>
  </r>
  <r>
    <x v="42"/>
    <d v="2024-05-05T00:00:00"/>
    <n v="2024"/>
    <s v="Becky Martin"/>
    <s v="22 St Georges Terrace, Perth"/>
    <s v="Sydney"/>
    <x v="0"/>
    <x v="1"/>
    <s v="Tina Carlton"/>
    <s v="Medium"/>
    <s v="Alto Keyboard-In-A-Box"/>
    <s v="Technology"/>
    <s v="Small Box"/>
    <s v="Express Air"/>
    <d v="2024-05-07T00:00:00"/>
    <n v="6.4"/>
    <n v="29.1"/>
    <n v="22.700000000000003"/>
    <n v="33"/>
    <n v="960.30000000000007"/>
    <n v="0.01"/>
    <n v="9.6030000000000015"/>
    <n v="950.69700000000012"/>
    <n v="4"/>
    <n v="954.69700000000012"/>
  </r>
  <r>
    <x v="43"/>
    <d v="2024-05-08T00:00:00"/>
    <n v="2024"/>
    <s v="Denny Ordway"/>
    <s v="523 King St,Newtown"/>
    <s v="Sydney"/>
    <x v="0"/>
    <x v="2"/>
    <s v="Aanya Zhang"/>
    <s v="Critical"/>
    <s v="Artisan 48 Labels"/>
    <s v="Office Supplies"/>
    <s v="Small Box"/>
    <s v="Regular Air"/>
    <d v="2024-05-08T00:00:00"/>
    <n v="3.84"/>
    <n v="6.3"/>
    <n v="2.46"/>
    <n v="42"/>
    <n v="264.59999999999997"/>
    <n v="7.0000000000000007E-2"/>
    <n v="18.521999999999998"/>
    <n v="246.07799999999997"/>
    <n v="0.5"/>
    <n v="246.57799999999997"/>
  </r>
  <r>
    <x v="44"/>
    <d v="2024-05-09T00:00:00"/>
    <n v="2024"/>
    <s v="Luke Schmidt"/>
    <s v="73 York St,Sydney"/>
    <s v="Sydney"/>
    <x v="0"/>
    <x v="1"/>
    <s v="Tina Carlton"/>
    <s v="Medium"/>
    <s v="UGen Ultra Professional Cordless Optical Suite"/>
    <s v="Technology"/>
    <s v="Small Box"/>
    <s v="Regular Air"/>
    <d v="2024-05-10T00:00:00"/>
    <n v="156.5"/>
    <n v="300.97000000000003"/>
    <n v="144.47000000000003"/>
    <n v="14"/>
    <n v="4213.58"/>
    <n v="0.1"/>
    <n v="421.358"/>
    <n v="3792.2219999999998"/>
    <n v="7.18"/>
    <n v="3799.4019999999996"/>
  </r>
  <r>
    <x v="45"/>
    <d v="2024-05-10T00:00:00"/>
    <n v="2024"/>
    <s v="Kelly Lampkin"/>
    <s v="310 Wattle St,Ultimo"/>
    <s v="Sydney"/>
    <x v="0"/>
    <x v="0"/>
    <s v="Aanya Zhang"/>
    <s v="Low"/>
    <s v="OIC Colored Binder Clips, Assorted Sizes"/>
    <s v="Office Supplies"/>
    <s v="Wrap Bag"/>
    <s v="Regular Air"/>
    <d v="2024-05-14T00:00:00"/>
    <n v="2.29"/>
    <n v="3.58"/>
    <n v="1.29"/>
    <n v="38"/>
    <n v="136.04"/>
    <n v="0.06"/>
    <n v="8.1623999999999999"/>
    <n v="127.87759999999999"/>
    <n v="1.63"/>
    <n v="129.5076"/>
  </r>
  <r>
    <x v="46"/>
    <d v="2024-05-11T00:00:00"/>
    <n v="2024"/>
    <s v="Eugene Moren"/>
    <s v="14/76 Newcastle Street"/>
    <s v="Perth"/>
    <x v="2"/>
    <x v="1"/>
    <s v="Mihael Khan"/>
    <s v="High"/>
    <s v="Colored Envelopes"/>
    <s v="Office Supplies"/>
    <s v="Small Box"/>
    <s v="Express Air"/>
    <d v="2024-05-11T00:00:00"/>
    <n v="2.25"/>
    <n v="3.69"/>
    <n v="1.44"/>
    <n v="35"/>
    <n v="129.15"/>
    <n v="0.03"/>
    <n v="3.8744999999999998"/>
    <n v="125.27550000000001"/>
    <n v="2.5"/>
    <n v="127.77550000000001"/>
  </r>
  <r>
    <x v="47"/>
    <d v="2024-05-11T00:00:00"/>
    <n v="2024"/>
    <s v="Anthony Rawles"/>
    <s v="14 Money Street, Perth"/>
    <s v="Perth"/>
    <x v="2"/>
    <x v="2"/>
    <s v="Mihael Khan"/>
    <s v="Medium"/>
    <s v="Xit Blank Computer Paper"/>
    <s v="Office Supplies"/>
    <s v="Small Box"/>
    <s v="Express Air"/>
    <d v="2024-05-11T00:00:00"/>
    <n v="12.39"/>
    <n v="19.98"/>
    <n v="7.59"/>
    <n v="13"/>
    <n v="259.74"/>
    <n v="0.1"/>
    <n v="25.974000000000004"/>
    <n v="233.76600000000002"/>
    <n v="5.77"/>
    <n v="239.53600000000003"/>
  </r>
  <r>
    <x v="48"/>
    <d v="2024-05-13T00:00:00"/>
    <n v="2024"/>
    <s v="Rick Duston"/>
    <s v="260 Marrickville Rd,Marrickville"/>
    <s v="Sydney"/>
    <x v="0"/>
    <x v="0"/>
    <s v="Nicholas Fernandes"/>
    <s v="Medium"/>
    <s v="Alto Perma 2700 Stacking Storage Drawers"/>
    <s v="Office Supplies"/>
    <s v="Small Box"/>
    <s v="Regular Air"/>
    <d v="2024-05-13T00:00:00"/>
    <n v="8.92"/>
    <n v="29.74"/>
    <n v="20.82"/>
    <n v="14"/>
    <n v="416.35999999999996"/>
    <n v="0.02"/>
    <n v="8.3271999999999995"/>
    <n v="408.03279999999995"/>
    <n v="6.64"/>
    <n v="414.67279999999994"/>
  </r>
  <r>
    <x v="49"/>
    <d v="2024-05-13T00:00:00"/>
    <n v="2024"/>
    <s v="Raymond Fair"/>
    <s v="188 Pitt Street,Sydney"/>
    <s v="Sydney"/>
    <x v="0"/>
    <x v="2"/>
    <s v="Tina Carlton"/>
    <s v="Not Specified"/>
    <s v="TechSavi Cordless Elite Duo"/>
    <s v="Technology"/>
    <s v="Small Box"/>
    <s v="Regular Air"/>
    <d v="2024-05-15T00:00:00"/>
    <n v="60.59"/>
    <n v="100.98"/>
    <n v="40.39"/>
    <n v="33"/>
    <n v="3332.34"/>
    <n v="0.05"/>
    <n v="166.61700000000002"/>
    <n v="3165.723"/>
    <n v="7.18"/>
    <n v="3172.9029999999998"/>
  </r>
  <r>
    <x v="50"/>
    <d v="2024-05-13T00:00:00"/>
    <n v="2024"/>
    <s v="Joy Smith"/>
    <s v="221 Barkly St,St Kilda"/>
    <s v="Melbourne"/>
    <x v="1"/>
    <x v="3"/>
    <s v="Yvette Biti"/>
    <s v="Low"/>
    <s v="Wirebound Message Book, 4 per Page"/>
    <s v="Office Supplies"/>
    <s v="Wrap Bag"/>
    <s v="Regular Air"/>
    <d v="2024-05-17T00:00:00"/>
    <n v="3.48"/>
    <n v="5.43"/>
    <n v="1.9499999999999997"/>
    <n v="29"/>
    <n v="157.47"/>
    <n v="7.0000000000000007E-2"/>
    <n v="11.022900000000002"/>
    <n v="146.44710000000001"/>
    <n v="0.95"/>
    <n v="147.39709999999999"/>
  </r>
  <r>
    <x v="51"/>
    <d v="2024-05-15T00:00:00"/>
    <n v="2024"/>
    <s v="Jim Epp"/>
    <s v="Macquarie Centre Cnr Herring Road &amp; Waterloo Road,Macquarie Park"/>
    <s v="Sydney"/>
    <x v="0"/>
    <x v="2"/>
    <s v="Nicholas Fernandes"/>
    <s v="Low"/>
    <s v="Laser DVD-RAM discs"/>
    <s v="Technology"/>
    <s v="Small Pack"/>
    <s v="Regular Air"/>
    <d v="2024-05-17T00:00:00"/>
    <n v="20.18"/>
    <n v="35.409999999999997"/>
    <n v="15.229999999999997"/>
    <n v="38"/>
    <n v="1345.58"/>
    <n v="0.03"/>
    <n v="40.367399999999996"/>
    <n v="1305.2125999999998"/>
    <n v="1.99"/>
    <n v="1307.2025999999998"/>
  </r>
  <r>
    <x v="52"/>
    <d v="2024-05-17T00:00:00"/>
    <n v="2024"/>
    <s v="Mike Vittorini"/>
    <s v="211/25-29 Dixon St,Haymarket"/>
    <s v="Sydney"/>
    <x v="0"/>
    <x v="2"/>
    <s v="Preston Senome"/>
    <s v="Not Specified"/>
    <s v="Artisan Hi-Liter Fluorescent Desk Style Markers"/>
    <s v="Office Supplies"/>
    <s v="Wrap Bag"/>
    <s v="Regular Air"/>
    <d v="2024-05-19T00:00:00"/>
    <n v="1.76"/>
    <n v="3.38"/>
    <n v="1.6199999999999999"/>
    <n v="34"/>
    <n v="114.92"/>
    <n v="7.0000000000000007E-2"/>
    <n v="8.0444000000000013"/>
    <n v="106.87560000000001"/>
    <n v="0.85"/>
    <n v="107.7256"/>
  </r>
  <r>
    <x v="53"/>
    <d v="2024-05-18T00:00:00"/>
    <n v="2024"/>
    <s v="Neil Knudson"/>
    <s v="4A Lyons St,Strathfield"/>
    <s v="Sydney"/>
    <x v="0"/>
    <x v="1"/>
    <s v="Tina Carlton"/>
    <s v="Critical"/>
    <s v="Artisan Arch Ring Binders"/>
    <s v="Office Supplies"/>
    <s v="Small Box"/>
    <s v="Express Air"/>
    <d v="2024-05-20T00:00:00"/>
    <n v="36.020000000000003"/>
    <n v="58.1"/>
    <n v="22.08"/>
    <n v="10"/>
    <n v="581"/>
    <n v="0.09"/>
    <n v="52.29"/>
    <n v="528.71"/>
    <n v="1.49"/>
    <n v="530.20000000000005"/>
  </r>
  <r>
    <x v="54"/>
    <d v="2024-05-18T00:00:00"/>
    <n v="2024"/>
    <s v="Deborah Brumfield"/>
    <s v="501 George St,Sydney"/>
    <s v="Sydney"/>
    <x v="0"/>
    <x v="0"/>
    <s v="Samantha Chairs"/>
    <s v="Low"/>
    <s v="UGen Ultra Professional Cordless Optical Suite"/>
    <s v="Technology"/>
    <s v="Small Box"/>
    <s v="Regular Air"/>
    <d v="2024-05-18T00:00:00"/>
    <n v="156.5"/>
    <n v="300.97000000000003"/>
    <n v="144.47000000000003"/>
    <n v="38"/>
    <n v="11436.86"/>
    <n v="0.09"/>
    <n v="1029.3173999999999"/>
    <n v="10407.542600000001"/>
    <n v="7.18"/>
    <n v="10414.722600000001"/>
  </r>
  <r>
    <x v="55"/>
    <d v="2024-05-19T00:00:00"/>
    <n v="2024"/>
    <s v="Erica Hernandez"/>
    <s v="12 Princess Hwy,Sylvania"/>
    <s v="Sydney"/>
    <x v="0"/>
    <x v="2"/>
    <s v="Nicholas Fernandes"/>
    <s v="Medium"/>
    <s v="Apex Elite Stainless Steel Scissors"/>
    <s v="Office Supplies"/>
    <s v="Small Pack"/>
    <s v="Regular Air"/>
    <d v="2024-05-21T00:00:00"/>
    <n v="3.42"/>
    <n v="8.34"/>
    <n v="4.92"/>
    <n v="30"/>
    <n v="250.2"/>
    <n v="0.02"/>
    <n v="5.0039999999999996"/>
    <n v="245.196"/>
    <n v="2.64"/>
    <n v="247.83599999999998"/>
  </r>
  <r>
    <x v="56"/>
    <d v="2024-05-20T00:00:00"/>
    <n v="2024"/>
    <s v="Janet Martin"/>
    <s v="24 Addison Rd,Marrickville"/>
    <s v="Sydney"/>
    <x v="0"/>
    <x v="0"/>
    <s v="Radhya Staples"/>
    <s v="Not Specified"/>
    <s v="TechSavi Cordless Elite Duo"/>
    <s v="Technology"/>
    <s v="Small Box"/>
    <s v="Regular Air"/>
    <d v="2024-05-21T00:00:00"/>
    <n v="60.59"/>
    <n v="100.98"/>
    <n v="40.39"/>
    <n v="29"/>
    <n v="2928.42"/>
    <n v="0.03"/>
    <n v="87.852599999999995"/>
    <n v="2840.5673999999999"/>
    <n v="7.18"/>
    <n v="2847.7473999999997"/>
  </r>
  <r>
    <x v="57"/>
    <d v="2024-05-22T00:00:00"/>
    <n v="2024"/>
    <s v="Beth Thompson"/>
    <s v="101 Murray Street, Perth"/>
    <s v="Sydney"/>
    <x v="0"/>
    <x v="0"/>
    <s v="Mihael Khan"/>
    <s v="Not Specified"/>
    <s v="Deluxe Rollaway Locking File with Drawer"/>
    <s v="Office Supplies"/>
    <s v="Small Box"/>
    <s v="Regular Air"/>
    <d v="2024-05-22T00:00:00"/>
    <n v="178.83"/>
    <n v="415.88"/>
    <n v="237.04999999999998"/>
    <n v="2"/>
    <n v="831.76"/>
    <n v="7.0000000000000007E-2"/>
    <n v="58.223200000000006"/>
    <n v="773.53679999999997"/>
    <n v="11.37"/>
    <n v="784.90679999999998"/>
  </r>
  <r>
    <x v="58"/>
    <d v="2024-05-23T00:00:00"/>
    <n v="2024"/>
    <s v="Nora Paige"/>
    <s v="85-113 Dunning Ave,Roseberry"/>
    <s v="Sydney"/>
    <x v="0"/>
    <x v="2"/>
    <s v="Mihael Khan"/>
    <s v="Medium"/>
    <s v="EcoTones Memo Sheets"/>
    <s v="Office Supplies"/>
    <s v="Wrap Bag"/>
    <s v="Regular Air"/>
    <d v="2024-05-25T00:00:00"/>
    <n v="2.52"/>
    <n v="4"/>
    <n v="1.48"/>
    <n v="39"/>
    <n v="156"/>
    <n v="0.08"/>
    <n v="12.48"/>
    <n v="143.52000000000001"/>
    <n v="1.3"/>
    <n v="144.82000000000002"/>
  </r>
  <r>
    <x v="59"/>
    <d v="2024-05-24T00:00:00"/>
    <n v="2024"/>
    <s v="Jim Kriz"/>
    <s v="85-113 Dunning Ave,Roseberry"/>
    <s v="Sydney"/>
    <x v="0"/>
    <x v="3"/>
    <s v="Mihael Khan"/>
    <s v="Low"/>
    <s v="Smiths Colored Interoffice Envelopes"/>
    <s v="Office Supplies"/>
    <s v="Small Box"/>
    <s v="Regular Air"/>
    <d v="2024-05-26T00:00:00"/>
    <n v="19.829999999999998"/>
    <n v="30.98"/>
    <n v="11.150000000000002"/>
    <n v="49"/>
    <n v="1518.02"/>
    <n v="0.09"/>
    <n v="136.62180000000001"/>
    <n v="1381.3982000000001"/>
    <n v="19.510000000000002"/>
    <n v="1400.9082000000001"/>
  </r>
  <r>
    <x v="60"/>
    <d v="2024-05-28T00:00:00"/>
    <n v="2024"/>
    <s v="Steve Nguyen"/>
    <s v="61 York St,Sydney"/>
    <s v="Sydney"/>
    <x v="0"/>
    <x v="2"/>
    <s v="Leighton Forrest"/>
    <s v="Medium"/>
    <s v="UGen Ultra Professional Cordless Optical Suite"/>
    <s v="Technology"/>
    <s v="Small Box"/>
    <s v="Regular Air"/>
    <d v="2024-05-30T00:00:00"/>
    <n v="156.5"/>
    <n v="300.97000000000003"/>
    <n v="144.47000000000003"/>
    <n v="5"/>
    <n v="1504.8500000000001"/>
    <n v="7.0000000000000007E-2"/>
    <n v="105.33950000000002"/>
    <n v="1399.5105000000001"/>
    <n v="7.18"/>
    <n v="1406.6905000000002"/>
  </r>
  <r>
    <x v="61"/>
    <d v="2024-05-28T00:00:00"/>
    <n v="2024"/>
    <s v="Scott Cohen"/>
    <s v="240-242 Johnston Street,Fitzroy"/>
    <s v="Melbourne"/>
    <x v="1"/>
    <x v="3"/>
    <s v="Connor Betts"/>
    <s v="High"/>
    <s v="Wirebound Voice Message Log Book"/>
    <s v="Office Supplies"/>
    <s v="Wrap Bag"/>
    <s v="Express Air"/>
    <d v="2024-05-30T00:00:00"/>
    <n v="2.9"/>
    <n v="4.76"/>
    <n v="1.8599999999999999"/>
    <n v="27"/>
    <n v="128.51999999999998"/>
    <n v="7.0000000000000007E-2"/>
    <n v="8.9963999999999995"/>
    <n v="119.52359999999999"/>
    <n v="0.88"/>
    <n v="120.40359999999998"/>
  </r>
  <r>
    <x v="62"/>
    <d v="2024-05-29T00:00:00"/>
    <n v="2024"/>
    <s v="Liz MacKendrick"/>
    <s v="224A Gertrude St,Fitzroy"/>
    <s v="Melbourne"/>
    <x v="1"/>
    <x v="0"/>
    <s v="Connor Betts"/>
    <s v="Low"/>
    <s v="UGen Ultra Professional Cordless Optical Suite"/>
    <s v="Technology"/>
    <s v="Small Box"/>
    <s v="Regular Air"/>
    <d v="2024-05-29T00:00:00"/>
    <n v="156.5"/>
    <n v="300.97000000000003"/>
    <n v="144.47000000000003"/>
    <n v="1"/>
    <n v="300.97000000000003"/>
    <n v="0.06"/>
    <n v="18.058199999999999"/>
    <n v="282.91180000000003"/>
    <n v="7.18"/>
    <n v="290.09180000000003"/>
  </r>
  <r>
    <x v="63"/>
    <d v="2024-06-02T00:00:00"/>
    <n v="2024"/>
    <s v="Aaron Smayling"/>
    <s v="1737 Botany Rd,Banksmeadow"/>
    <s v="Sydney"/>
    <x v="0"/>
    <x v="2"/>
    <s v="Nicholas Fernandes"/>
    <s v="Medium"/>
    <s v="OIC Colored Binder Clips, Assorted Sizes"/>
    <s v="Office Supplies"/>
    <s v="Wrap Bag"/>
    <s v="Regular Air"/>
    <d v="2024-06-03T00:00:00"/>
    <n v="2.29"/>
    <n v="3.58"/>
    <n v="1.29"/>
    <n v="10"/>
    <n v="35.799999999999997"/>
    <n v="0.05"/>
    <n v="1.79"/>
    <n v="34.01"/>
    <n v="1.63"/>
    <n v="35.64"/>
  </r>
  <r>
    <x v="64"/>
    <d v="2024-06-03T00:00:00"/>
    <n v="2024"/>
    <s v="Carlos Meador"/>
    <s v="152 Bunnerong Road,Eastgardens"/>
    <s v="Sydney"/>
    <x v="0"/>
    <x v="0"/>
    <s v="Tina Carlton"/>
    <s v="Medium"/>
    <s v="Multimedia Mailers"/>
    <s v="Office Supplies"/>
    <s v="Small Box"/>
    <s v="Regular Air"/>
    <d v="2024-06-04T00:00:00"/>
    <n v="99.39"/>
    <n v="162.93"/>
    <n v="63.540000000000006"/>
    <n v="7"/>
    <n v="1140.51"/>
    <n v="0.03"/>
    <n v="34.215299999999999"/>
    <n v="1106.2946999999999"/>
    <n v="19.989999999999998"/>
    <n v="1126.2846999999999"/>
  </r>
  <r>
    <x v="65"/>
    <d v="2024-06-03T00:00:00"/>
    <n v="2024"/>
    <s v="Giulietta Dortch"/>
    <s v="180 High Street,Windsor"/>
    <s v="Melbourne"/>
    <x v="1"/>
    <x v="2"/>
    <s v="Connor Betts"/>
    <s v="High"/>
    <s v="Smiths Metal Binder Clips"/>
    <s v="Office Supplies"/>
    <s v="Wrap Bag"/>
    <s v="Express Air"/>
    <d v="2024-06-05T00:00:00"/>
    <n v="1.6"/>
    <n v="2.62"/>
    <n v="1.02"/>
    <n v="34"/>
    <n v="89.08"/>
    <n v="0.08"/>
    <n v="7.1264000000000003"/>
    <n v="81.953599999999994"/>
    <n v="0.8"/>
    <n v="82.753599999999992"/>
  </r>
  <r>
    <x v="66"/>
    <d v="2024-06-06T00:00:00"/>
    <n v="2024"/>
    <s v="Paul Lucas"/>
    <s v="8 Quay Street,Haymarket"/>
    <s v="Sydney"/>
    <x v="0"/>
    <x v="0"/>
    <s v="Leighton Forrest"/>
    <s v="High"/>
    <s v="3Max Organizer Strips"/>
    <s v="Office Supplies"/>
    <s v="Small Box"/>
    <s v="Regular Air"/>
    <d v="2024-06-07T00:00:00"/>
    <n v="3.4"/>
    <n v="5.4"/>
    <n v="2.0000000000000004"/>
    <n v="25"/>
    <n v="135"/>
    <n v="0.09"/>
    <n v="12.15"/>
    <n v="122.85"/>
    <n v="7.78"/>
    <n v="130.63"/>
  </r>
  <r>
    <x v="67"/>
    <d v="2024-06-07T00:00:00"/>
    <n v="2024"/>
    <s v="Aleksandra Gannaway"/>
    <s v="508/130 Mounts Bay Road, Perth"/>
    <s v="Perth"/>
    <x v="2"/>
    <x v="1"/>
    <s v="Tina Carlton"/>
    <s v="High"/>
    <s v="PastelOcean Color Pencil Set"/>
    <s v="Office Supplies"/>
    <s v="Wrap Bag"/>
    <s v="Regular Air"/>
    <d v="2024-06-08T00:00:00"/>
    <n v="11.11"/>
    <n v="19.84"/>
    <n v="8.73"/>
    <n v="26"/>
    <n v="515.84"/>
    <n v="7.0000000000000007E-2"/>
    <n v="36.108800000000002"/>
    <n v="479.73120000000006"/>
    <n v="4.0999999999999996"/>
    <n v="483.83120000000008"/>
  </r>
  <r>
    <x v="68"/>
    <d v="2024-06-08T00:00:00"/>
    <n v="2024"/>
    <s v="Roy Collins"/>
    <s v="6 Brookman Street"/>
    <s v="Perth"/>
    <x v="2"/>
    <x v="0"/>
    <s v="Natasha Song"/>
    <s v="Critical"/>
    <s v="Smiths Gold Paper Clips"/>
    <s v="Office Supplies"/>
    <s v="Wrap Bag"/>
    <s v="Regular Air"/>
    <d v="2024-06-09T00:00:00"/>
    <n v="1.82"/>
    <n v="2.98"/>
    <n v="1.1599999999999999"/>
    <n v="3"/>
    <n v="8.94"/>
    <n v="0.09"/>
    <n v="0.80459999999999987"/>
    <n v="8.1353999999999989"/>
    <n v="1.58"/>
    <n v="9.715399999999998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A6332F-B7EC-4300-BE7E-D5A88D8C489A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F8" firstHeaderRow="1" firstDataRow="2" firstDataCol="1"/>
  <pivotFields count="25">
    <pivotField showAll="0">
      <items count="7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  <pivotField numFmtId="14"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Col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numFmtId="164" showAll="0"/>
    <pivotField numFmtId="164" showAll="0"/>
    <pivotField numFmtId="164" showAll="0"/>
    <pivotField showAll="0"/>
    <pivotField numFmtId="164" showAll="0"/>
    <pivotField numFmtId="9" showAll="0"/>
    <pivotField numFmtId="164" showAll="0"/>
    <pivotField numFmtId="164" showAll="0"/>
    <pivotField numFmtId="164" showAll="0"/>
    <pivotField dataField="1" numFmtId="164"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" fld="24" baseField="0" baseItem="0" numFmtId="164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B22E0A-6A63-4A01-9ADB-C4B5FBEF6C55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5">
    <pivotField showAll="0"/>
    <pivotField numFmtId="14"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64" showAll="0"/>
    <pivotField numFmtId="164" showAll="0"/>
    <pivotField numFmtId="164" showAll="0"/>
    <pivotField showAll="0"/>
    <pivotField numFmtId="164" showAll="0"/>
    <pivotField numFmtId="9" showAll="0"/>
    <pivotField numFmtId="164" showAll="0"/>
    <pivotField numFmtId="164" showAll="0"/>
    <pivotField numFmtId="164" showAll="0"/>
    <pivotField dataField="1" numFmtId="164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otal" fld="2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4F3A7A-0AA6-43C0-9E68-E1287D131E37}" name="Table1" displayName="Table1" ref="A1:Y70" totalsRowShown="0" headerRowDxfId="24" headerRowCellStyle="Accent5">
  <autoFilter ref="A1:Y70" xr:uid="{A84F3A7A-0AA6-43C0-9E68-E1287D131E37}"/>
  <tableColumns count="25">
    <tableColumn id="1" xr3:uid="{1770C6FD-3390-4B41-A5AA-F75DA9168621}" name="Order No"/>
    <tableColumn id="2" xr3:uid="{68719526-8F55-4B78-B04F-01D36B3C581E}" name="Order Date" dataDxfId="23"/>
    <tableColumn id="3" xr3:uid="{3D7F6745-8421-4830-9986-6EBC04691C13}" name="Order Year" dataDxfId="22"/>
    <tableColumn id="4" xr3:uid="{15E78C13-874E-46D0-AFF2-E5E59CCE248A}" name="Customer Name" dataDxfId="21"/>
    <tableColumn id="5" xr3:uid="{CE0D999E-FAAE-43A0-920F-A24B91015B45}" name="Address" dataDxfId="20"/>
    <tableColumn id="6" xr3:uid="{1F5494DF-49AD-4634-B698-888916F4040A}" name="City" dataDxfId="19"/>
    <tableColumn id="7" xr3:uid="{64D4D631-BCFB-457F-95DE-C094BCFEB1EF}" name="State" dataDxfId="18"/>
    <tableColumn id="8" xr3:uid="{EE017085-FC53-419F-BAAF-7E6A764B361F}" name="Customer Type" dataDxfId="17"/>
    <tableColumn id="9" xr3:uid="{25912A72-58A3-41C0-860C-8F25A29DCABC}" name="Account Manager" dataDxfId="16"/>
    <tableColumn id="10" xr3:uid="{6832A75F-D93A-4E09-BF92-85D29B0BE765}" name="Order Priority" dataDxfId="15"/>
    <tableColumn id="11" xr3:uid="{26F03735-1C08-46F3-A6BA-B708F7F6348D}" name="Product Name" dataDxfId="14"/>
    <tableColumn id="12" xr3:uid="{827C61ED-C04E-4807-9BB5-3F475637E29A}" name="Product Category" dataDxfId="13"/>
    <tableColumn id="13" xr3:uid="{70888BE3-BF64-423D-8F5D-7C32BB2B0E52}" name="Product Container" dataDxfId="12"/>
    <tableColumn id="14" xr3:uid="{2B3627C3-1ABE-48D2-B478-D3B327B80952}" name="Ship Mode" dataDxfId="11"/>
    <tableColumn id="15" xr3:uid="{082089C2-8C97-4C42-89C8-60BE1A1F5929}" name="Ship Date" dataDxfId="10"/>
    <tableColumn id="16" xr3:uid="{66BA02A8-5ADB-4E58-B963-9FC3A57F300A}" name="Cost Price" dataDxfId="9"/>
    <tableColumn id="17" xr3:uid="{ADB30A7A-CFB1-4C98-877C-7AC4C722C194}" name="Retail Price" dataDxfId="8"/>
    <tableColumn id="18" xr3:uid="{EBA04838-9530-4F24-9C68-3F7DAF841B52}" name="Profit Margin" dataDxfId="7"/>
    <tableColumn id="19" xr3:uid="{07AB0C00-FDD2-4A1B-94E3-5F9BB6D1A319}" name="Order Quantity" dataDxfId="6"/>
    <tableColumn id="20" xr3:uid="{A1C81606-E4CE-4E8D-9146-A7E8A398A5AC}" name="Sub Total" dataDxfId="5"/>
    <tableColumn id="21" xr3:uid="{B6F74FEB-CB9C-43CD-8433-385A5A2FB46F}" name="Discount %" dataDxfId="4" dataCellStyle="Percent"/>
    <tableColumn id="22" xr3:uid="{D8F4EDB9-B685-4EE5-A6B4-3EA7C254BEEB}" name="Discount $" dataDxfId="3" dataCellStyle="Percent"/>
    <tableColumn id="23" xr3:uid="{2A720C91-4282-4DC3-B74F-B1C265267C8F}" name="Order Total" dataDxfId="2" dataCellStyle="Percent"/>
    <tableColumn id="24" xr3:uid="{B03AFE5F-B615-44B8-B95F-74EB03A3196C}" name="Shipping Cost" dataDxfId="1"/>
    <tableColumn id="25" xr3:uid="{48CE3822-6B4D-41A0-A493-E049BDA1A74F}" name="Total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610D1-4FB0-485A-961A-899F025DCCB5}">
  <dimension ref="A3:F8"/>
  <sheetViews>
    <sheetView workbookViewId="0">
      <selection activeCell="D6" sqref="D6"/>
    </sheetView>
  </sheetViews>
  <sheetFormatPr defaultRowHeight="15" x14ac:dyDescent="0.25"/>
  <cols>
    <col min="1" max="1" width="13.42578125" bestFit="1" customWidth="1"/>
    <col min="2" max="2" width="16.85546875" bestFit="1" customWidth="1"/>
    <col min="3" max="3" width="10.140625" bestFit="1" customWidth="1"/>
    <col min="4" max="4" width="12.42578125" bestFit="1" customWidth="1"/>
    <col min="5" max="5" width="14.7109375" bestFit="1" customWidth="1"/>
    <col min="6" max="6" width="11.28515625" bestFit="1" customWidth="1"/>
    <col min="7" max="7" width="10.140625" bestFit="1" customWidth="1"/>
    <col min="8" max="8" width="12.42578125" bestFit="1" customWidth="1"/>
    <col min="9" max="9" width="14.7109375" bestFit="1" customWidth="1"/>
    <col min="10" max="10" width="22.7109375" bestFit="1" customWidth="1"/>
    <col min="11" max="11" width="17.28515625" bestFit="1" customWidth="1"/>
  </cols>
  <sheetData>
    <row r="3" spans="1:6" x14ac:dyDescent="0.25">
      <c r="A3" s="14" t="s">
        <v>312</v>
      </c>
      <c r="B3" s="14" t="s">
        <v>313</v>
      </c>
    </row>
    <row r="4" spans="1:6" x14ac:dyDescent="0.25">
      <c r="A4" s="14" t="s">
        <v>310</v>
      </c>
      <c r="B4" t="s">
        <v>47</v>
      </c>
      <c r="C4" t="s">
        <v>41</v>
      </c>
      <c r="D4" t="s">
        <v>28</v>
      </c>
      <c r="E4" t="s">
        <v>54</v>
      </c>
      <c r="F4" t="s">
        <v>311</v>
      </c>
    </row>
    <row r="5" spans="1:6" x14ac:dyDescent="0.25">
      <c r="A5" s="15" t="s">
        <v>40</v>
      </c>
      <c r="B5" s="7">
        <v>7365.2142000000003</v>
      </c>
      <c r="C5" s="7">
        <v>21497.386162000003</v>
      </c>
      <c r="D5" s="7">
        <v>6367.9770999999992</v>
      </c>
      <c r="E5" s="7">
        <v>9830.3256999999994</v>
      </c>
      <c r="F5" s="7">
        <v>45060.903162000002</v>
      </c>
    </row>
    <row r="6" spans="1:6" x14ac:dyDescent="0.25">
      <c r="A6" s="15" t="s">
        <v>27</v>
      </c>
      <c r="B6" s="7">
        <v>480.01029999999997</v>
      </c>
      <c r="C6" s="7">
        <v>3488.7065000000002</v>
      </c>
      <c r="D6" s="7">
        <v>1351.4832000000001</v>
      </c>
      <c r="E6" s="7">
        <v>206.81360000000001</v>
      </c>
      <c r="F6" s="7">
        <v>5527.0136000000011</v>
      </c>
    </row>
    <row r="7" spans="1:6" x14ac:dyDescent="0.25">
      <c r="A7" s="15" t="s">
        <v>204</v>
      </c>
      <c r="B7" s="7"/>
      <c r="C7" s="7">
        <v>9.7153999999999989</v>
      </c>
      <c r="D7" s="7">
        <v>611.60670000000005</v>
      </c>
      <c r="E7" s="7">
        <v>264.08120000000002</v>
      </c>
      <c r="F7" s="7">
        <v>885.40330000000017</v>
      </c>
    </row>
    <row r="8" spans="1:6" x14ac:dyDescent="0.25">
      <c r="A8" s="15" t="s">
        <v>311</v>
      </c>
      <c r="B8" s="7">
        <v>7845.2245000000003</v>
      </c>
      <c r="C8" s="7">
        <v>24995.808062000004</v>
      </c>
      <c r="D8" s="7">
        <v>8331.0669999999991</v>
      </c>
      <c r="E8" s="7">
        <v>10301.220499999999</v>
      </c>
      <c r="F8" s="7">
        <v>51473.320061999999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2CB70-4A1E-4FCD-A046-7D9A92B5D53B}">
  <dimension ref="A3:I8"/>
  <sheetViews>
    <sheetView workbookViewId="0">
      <selection activeCell="I8" sqref="I8"/>
    </sheetView>
  </sheetViews>
  <sheetFormatPr defaultRowHeight="15" x14ac:dyDescent="0.25"/>
  <cols>
    <col min="1" max="1" width="13.42578125" bestFit="1" customWidth="1"/>
    <col min="2" max="2" width="13.85546875" bestFit="1" customWidth="1"/>
    <col min="9" max="9" width="12" bestFit="1" customWidth="1"/>
  </cols>
  <sheetData>
    <row r="3" spans="1:9" x14ac:dyDescent="0.25">
      <c r="A3" s="14" t="s">
        <v>310</v>
      </c>
      <c r="B3" t="s">
        <v>314</v>
      </c>
      <c r="F3" t="s">
        <v>315</v>
      </c>
      <c r="G3" t="s">
        <v>316</v>
      </c>
    </row>
    <row r="4" spans="1:9" x14ac:dyDescent="0.25">
      <c r="A4" s="15" t="s">
        <v>40</v>
      </c>
      <c r="B4" s="16">
        <v>45</v>
      </c>
      <c r="E4" s="15" t="s">
        <v>40</v>
      </c>
      <c r="F4" s="16">
        <v>45</v>
      </c>
      <c r="G4">
        <f>$F$7/3</f>
        <v>23</v>
      </c>
      <c r="H4">
        <f>(F4-G4)^2/G4</f>
        <v>21.043478260869566</v>
      </c>
    </row>
    <row r="5" spans="1:9" x14ac:dyDescent="0.25">
      <c r="A5" s="15" t="s">
        <v>27</v>
      </c>
      <c r="B5" s="16">
        <v>19</v>
      </c>
      <c r="E5" s="15" t="s">
        <v>27</v>
      </c>
      <c r="F5" s="16">
        <v>19</v>
      </c>
      <c r="G5">
        <f t="shared" ref="G5:G6" si="0">$F$7/3</f>
        <v>23</v>
      </c>
      <c r="H5">
        <f t="shared" ref="H5:H6" si="1">(F5-G5)^2/G5</f>
        <v>0.69565217391304346</v>
      </c>
    </row>
    <row r="6" spans="1:9" x14ac:dyDescent="0.25">
      <c r="A6" s="15" t="s">
        <v>204</v>
      </c>
      <c r="B6" s="16">
        <v>5</v>
      </c>
      <c r="E6" s="15" t="s">
        <v>204</v>
      </c>
      <c r="F6" s="16">
        <v>5</v>
      </c>
      <c r="G6">
        <f t="shared" si="0"/>
        <v>23</v>
      </c>
      <c r="H6">
        <f t="shared" si="1"/>
        <v>14.086956521739131</v>
      </c>
    </row>
    <row r="7" spans="1:9" x14ac:dyDescent="0.25">
      <c r="A7" s="15" t="s">
        <v>311</v>
      </c>
      <c r="B7" s="16">
        <v>69</v>
      </c>
      <c r="F7">
        <f>SUM(F4:F6)</f>
        <v>69</v>
      </c>
      <c r="H7">
        <f>SUM(H4:H6)</f>
        <v>35.826086956521742</v>
      </c>
    </row>
    <row r="8" spans="1:9" x14ac:dyDescent="0.25">
      <c r="I8">
        <f>_xlfn.CHISQ.TEST(F4:F6,G4:G6)</f>
        <v>1.6613611989024489E-8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F31F1-D0BE-4DD9-9DA5-1D522F56196E}">
  <dimension ref="A1:Y70"/>
  <sheetViews>
    <sheetView topLeftCell="A2" workbookViewId="0">
      <selection activeCell="D11" sqref="D11"/>
    </sheetView>
  </sheetViews>
  <sheetFormatPr defaultRowHeight="15" x14ac:dyDescent="0.25"/>
  <cols>
    <col min="1" max="1" width="10.140625" customWidth="1"/>
    <col min="2" max="2" width="11.7109375" customWidth="1"/>
    <col min="3" max="3" width="11.5703125" customWidth="1"/>
    <col min="4" max="4" width="20.28515625" bestFit="1" customWidth="1"/>
    <col min="5" max="5" width="61.42578125" bestFit="1" customWidth="1"/>
    <col min="6" max="6" width="9.42578125" bestFit="1" customWidth="1"/>
    <col min="7" max="7" width="7.140625" customWidth="1"/>
    <col min="8" max="8" width="15.28515625" customWidth="1"/>
    <col min="9" max="9" width="17.140625" customWidth="1"/>
    <col min="10" max="10" width="13.85546875" customWidth="1"/>
    <col min="11" max="11" width="65.5703125" bestFit="1" customWidth="1"/>
    <col min="12" max="12" width="17.140625" customWidth="1"/>
    <col min="13" max="13" width="18" customWidth="1"/>
    <col min="14" max="14" width="12.140625" bestFit="1" customWidth="1"/>
    <col min="15" max="15" width="10.85546875" customWidth="1"/>
    <col min="16" max="16" width="11.28515625" customWidth="1"/>
    <col min="17" max="17" width="12.42578125" customWidth="1"/>
    <col min="18" max="18" width="13.42578125" customWidth="1"/>
    <col min="19" max="19" width="15" customWidth="1"/>
    <col min="20" max="20" width="10.5703125" customWidth="1"/>
    <col min="21" max="21" width="12.28515625" customWidth="1"/>
    <col min="22" max="22" width="11.7109375" customWidth="1"/>
    <col min="23" max="23" width="11.85546875" customWidth="1"/>
    <col min="24" max="24" width="14.42578125" customWidth="1"/>
    <col min="25" max="25" width="9.85546875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61</v>
      </c>
      <c r="B2" s="2">
        <v>45330</v>
      </c>
      <c r="C2" s="3">
        <v>2024</v>
      </c>
      <c r="D2" s="3" t="s">
        <v>62</v>
      </c>
      <c r="E2" s="3" t="s">
        <v>63</v>
      </c>
      <c r="F2" s="3" t="s">
        <v>39</v>
      </c>
      <c r="G2" s="3" t="s">
        <v>40</v>
      </c>
      <c r="H2" s="3" t="s">
        <v>41</v>
      </c>
      <c r="I2" s="3" t="s">
        <v>64</v>
      </c>
      <c r="J2" s="3" t="s">
        <v>60</v>
      </c>
      <c r="K2" s="3" t="s">
        <v>56</v>
      </c>
      <c r="L2" s="3" t="s">
        <v>31</v>
      </c>
      <c r="M2" s="3" t="s">
        <v>32</v>
      </c>
      <c r="N2" s="3" t="s">
        <v>33</v>
      </c>
      <c r="O2" s="2">
        <v>45332</v>
      </c>
      <c r="P2" s="4">
        <v>54.29</v>
      </c>
      <c r="Q2" s="4">
        <v>90.48</v>
      </c>
      <c r="R2" s="4">
        <v>36.190000000000005</v>
      </c>
      <c r="S2" s="3">
        <v>3</v>
      </c>
      <c r="T2" s="4">
        <v>271.44</v>
      </c>
      <c r="U2" s="5">
        <v>0.03</v>
      </c>
      <c r="V2" s="6">
        <v>8.1432000000000002</v>
      </c>
      <c r="W2" s="6">
        <v>263.29680000000002</v>
      </c>
      <c r="X2" s="4">
        <v>19.989999999999998</v>
      </c>
      <c r="Y2" s="7">
        <v>283.28680000000003</v>
      </c>
    </row>
    <row r="3" spans="1:25" x14ac:dyDescent="0.25">
      <c r="A3" t="s">
        <v>65</v>
      </c>
      <c r="B3" s="2">
        <v>45331</v>
      </c>
      <c r="C3" s="3">
        <v>2024</v>
      </c>
      <c r="D3" s="3" t="s">
        <v>66</v>
      </c>
      <c r="E3" s="3" t="s">
        <v>67</v>
      </c>
      <c r="F3" s="3" t="s">
        <v>39</v>
      </c>
      <c r="G3" s="3" t="s">
        <v>40</v>
      </c>
      <c r="H3" s="3" t="s">
        <v>41</v>
      </c>
      <c r="I3" s="3" t="s">
        <v>50</v>
      </c>
      <c r="J3" s="3" t="s">
        <v>30</v>
      </c>
      <c r="K3" s="3" t="s">
        <v>68</v>
      </c>
      <c r="L3" s="3" t="s">
        <v>31</v>
      </c>
      <c r="M3" s="3" t="s">
        <v>32</v>
      </c>
      <c r="N3" s="3" t="s">
        <v>33</v>
      </c>
      <c r="O3" s="2">
        <v>45331</v>
      </c>
      <c r="P3" s="4">
        <v>36.020000000000003</v>
      </c>
      <c r="Q3" s="4">
        <v>58.1</v>
      </c>
      <c r="R3" s="4">
        <v>22.08</v>
      </c>
      <c r="S3" s="3">
        <v>50</v>
      </c>
      <c r="T3" s="4">
        <v>2905</v>
      </c>
      <c r="U3" s="5">
        <v>0.05</v>
      </c>
      <c r="V3" s="6">
        <v>145.25</v>
      </c>
      <c r="W3" s="6">
        <v>2759.75</v>
      </c>
      <c r="X3" s="4">
        <v>1.49</v>
      </c>
      <c r="Y3" s="7">
        <v>2761.24</v>
      </c>
    </row>
    <row r="4" spans="1:25" x14ac:dyDescent="0.25">
      <c r="A4" t="s">
        <v>69</v>
      </c>
      <c r="B4" s="2">
        <v>45340</v>
      </c>
      <c r="C4" s="3">
        <v>2024</v>
      </c>
      <c r="D4" s="3" t="s">
        <v>70</v>
      </c>
      <c r="E4" s="3" t="s">
        <v>71</v>
      </c>
      <c r="F4" s="3" t="s">
        <v>26</v>
      </c>
      <c r="G4" s="3" t="s">
        <v>27</v>
      </c>
      <c r="H4" s="3" t="s">
        <v>41</v>
      </c>
      <c r="I4" s="3" t="s">
        <v>29</v>
      </c>
      <c r="J4" s="3" t="s">
        <v>43</v>
      </c>
      <c r="K4" s="3" t="s">
        <v>72</v>
      </c>
      <c r="L4" s="3" t="s">
        <v>31</v>
      </c>
      <c r="M4" s="3" t="s">
        <v>37</v>
      </c>
      <c r="N4" s="3" t="s">
        <v>33</v>
      </c>
      <c r="O4" s="2">
        <v>45343</v>
      </c>
      <c r="P4" s="4">
        <v>0.71</v>
      </c>
      <c r="Q4" s="4">
        <v>1.1399999999999999</v>
      </c>
      <c r="R4" s="4">
        <v>0.42999999999999994</v>
      </c>
      <c r="S4" s="3">
        <v>50</v>
      </c>
      <c r="T4" s="4">
        <v>56.999999999999993</v>
      </c>
      <c r="U4" s="5">
        <v>0.06</v>
      </c>
      <c r="V4" s="6">
        <v>3.4199999999999995</v>
      </c>
      <c r="W4" s="6">
        <v>53.579999999999991</v>
      </c>
      <c r="X4" s="4">
        <v>0.7</v>
      </c>
      <c r="Y4" s="7">
        <v>54.279999999999994</v>
      </c>
    </row>
    <row r="5" spans="1:25" x14ac:dyDescent="0.25">
      <c r="A5" t="s">
        <v>73</v>
      </c>
      <c r="B5" s="2">
        <v>45344</v>
      </c>
      <c r="C5" s="3">
        <v>2024</v>
      </c>
      <c r="D5" s="3" t="s">
        <v>74</v>
      </c>
      <c r="E5" s="3" t="s">
        <v>75</v>
      </c>
      <c r="F5" s="3" t="s">
        <v>39</v>
      </c>
      <c r="G5" s="3" t="s">
        <v>40</v>
      </c>
      <c r="H5" s="3" t="s">
        <v>28</v>
      </c>
      <c r="I5" s="3" t="s">
        <v>76</v>
      </c>
      <c r="J5" s="3" t="s">
        <v>43</v>
      </c>
      <c r="K5" s="3" t="s">
        <v>77</v>
      </c>
      <c r="L5" s="3" t="s">
        <v>31</v>
      </c>
      <c r="M5" s="3" t="s">
        <v>78</v>
      </c>
      <c r="N5" s="3" t="s">
        <v>33</v>
      </c>
      <c r="O5" s="2">
        <v>45346</v>
      </c>
      <c r="P5" s="4">
        <v>3.42</v>
      </c>
      <c r="Q5" s="4">
        <v>8.34</v>
      </c>
      <c r="R5" s="4">
        <v>4.92</v>
      </c>
      <c r="S5" s="3">
        <v>16</v>
      </c>
      <c r="T5" s="4">
        <v>133.44</v>
      </c>
      <c r="U5" s="5">
        <v>0.03</v>
      </c>
      <c r="V5" s="6">
        <v>4.0031999999999996</v>
      </c>
      <c r="W5" s="6">
        <v>129.43680000000001</v>
      </c>
      <c r="X5" s="4">
        <v>2.64</v>
      </c>
      <c r="Y5" s="7">
        <v>132.07679999999999</v>
      </c>
    </row>
    <row r="6" spans="1:25" x14ac:dyDescent="0.25">
      <c r="A6" t="s">
        <v>79</v>
      </c>
      <c r="B6" s="2">
        <v>45346</v>
      </c>
      <c r="C6" s="3">
        <v>2024</v>
      </c>
      <c r="D6" s="3" t="s">
        <v>80</v>
      </c>
      <c r="E6" s="3" t="s">
        <v>59</v>
      </c>
      <c r="F6" s="3" t="s">
        <v>26</v>
      </c>
      <c r="G6" s="3" t="s">
        <v>27</v>
      </c>
      <c r="H6" s="3" t="s">
        <v>41</v>
      </c>
      <c r="I6" s="3" t="s">
        <v>36</v>
      </c>
      <c r="J6" s="3" t="s">
        <v>49</v>
      </c>
      <c r="K6" s="3" t="s">
        <v>72</v>
      </c>
      <c r="L6" s="3" t="s">
        <v>31</v>
      </c>
      <c r="M6" s="3" t="s">
        <v>37</v>
      </c>
      <c r="N6" s="3" t="s">
        <v>33</v>
      </c>
      <c r="O6" s="2">
        <v>45346</v>
      </c>
      <c r="P6" s="4">
        <v>0.71</v>
      </c>
      <c r="Q6" s="4">
        <v>1.1399999999999999</v>
      </c>
      <c r="R6" s="4">
        <v>0.42999999999999994</v>
      </c>
      <c r="S6" s="3">
        <v>38</v>
      </c>
      <c r="T6" s="4">
        <v>43.319999999999993</v>
      </c>
      <c r="U6" s="5">
        <v>0.02</v>
      </c>
      <c r="V6" s="6">
        <v>0.86639999999999984</v>
      </c>
      <c r="W6" s="6">
        <v>42.453599999999994</v>
      </c>
      <c r="X6" s="4">
        <v>0.7</v>
      </c>
      <c r="Y6" s="7">
        <v>43.153599999999997</v>
      </c>
    </row>
    <row r="7" spans="1:25" x14ac:dyDescent="0.25">
      <c r="A7" t="s">
        <v>81</v>
      </c>
      <c r="B7" s="2">
        <v>45348</v>
      </c>
      <c r="C7" s="3">
        <v>2024</v>
      </c>
      <c r="D7" s="3" t="s">
        <v>82</v>
      </c>
      <c r="E7" s="3" t="s">
        <v>83</v>
      </c>
      <c r="F7" s="3" t="s">
        <v>39</v>
      </c>
      <c r="G7" s="3" t="s">
        <v>40</v>
      </c>
      <c r="H7" s="3" t="s">
        <v>41</v>
      </c>
      <c r="I7" s="3" t="s">
        <v>57</v>
      </c>
      <c r="J7" s="3" t="s">
        <v>60</v>
      </c>
      <c r="K7" s="3" t="s">
        <v>84</v>
      </c>
      <c r="L7" s="3" t="s">
        <v>31</v>
      </c>
      <c r="M7" s="3" t="s">
        <v>32</v>
      </c>
      <c r="N7" s="3" t="s">
        <v>33</v>
      </c>
      <c r="O7" s="2">
        <v>45349</v>
      </c>
      <c r="P7" s="4">
        <v>4.59</v>
      </c>
      <c r="Q7" s="4">
        <v>7.28</v>
      </c>
      <c r="R7" s="4">
        <v>2.6900000000000004</v>
      </c>
      <c r="S7" s="3">
        <v>22</v>
      </c>
      <c r="T7" s="4">
        <v>160.16</v>
      </c>
      <c r="U7" s="5">
        <v>0.01</v>
      </c>
      <c r="V7" s="6">
        <v>1.6015999999999999</v>
      </c>
      <c r="W7" s="6">
        <v>158.55840000000001</v>
      </c>
      <c r="X7" s="4">
        <v>11.15</v>
      </c>
      <c r="Y7" s="7">
        <v>169.70840000000001</v>
      </c>
    </row>
    <row r="8" spans="1:25" x14ac:dyDescent="0.25">
      <c r="A8" t="s">
        <v>85</v>
      </c>
      <c r="B8" s="2">
        <v>45349</v>
      </c>
      <c r="C8" s="3">
        <v>2024</v>
      </c>
      <c r="D8" s="3" t="s">
        <v>86</v>
      </c>
      <c r="E8" s="3" t="s">
        <v>87</v>
      </c>
      <c r="F8" s="3" t="s">
        <v>39</v>
      </c>
      <c r="G8" s="3" t="s">
        <v>40</v>
      </c>
      <c r="H8" s="3" t="s">
        <v>54</v>
      </c>
      <c r="I8" s="3" t="s">
        <v>88</v>
      </c>
      <c r="J8" s="3" t="s">
        <v>49</v>
      </c>
      <c r="K8" s="3" t="s">
        <v>89</v>
      </c>
      <c r="L8" s="3" t="s">
        <v>31</v>
      </c>
      <c r="M8" s="3" t="s">
        <v>37</v>
      </c>
      <c r="N8" s="3" t="s">
        <v>33</v>
      </c>
      <c r="O8" s="2">
        <v>45353</v>
      </c>
      <c r="P8" s="4">
        <v>1.3</v>
      </c>
      <c r="Q8" s="4">
        <v>2.88</v>
      </c>
      <c r="R8" s="4">
        <v>1.5799999999999998</v>
      </c>
      <c r="S8" s="3">
        <v>48</v>
      </c>
      <c r="T8" s="4">
        <v>138.24</v>
      </c>
      <c r="U8" s="5">
        <v>7.0000000000000007E-2</v>
      </c>
      <c r="V8" s="6">
        <v>9.6768000000000018</v>
      </c>
      <c r="W8" s="6">
        <v>128.56319999999999</v>
      </c>
      <c r="X8" s="4">
        <v>1.01</v>
      </c>
      <c r="Y8" s="7">
        <v>129.57319999999999</v>
      </c>
    </row>
    <row r="9" spans="1:25" x14ac:dyDescent="0.25">
      <c r="A9" t="s">
        <v>90</v>
      </c>
      <c r="B9" s="2">
        <v>45356</v>
      </c>
      <c r="C9" s="3">
        <v>2024</v>
      </c>
      <c r="D9" s="3" t="s">
        <v>91</v>
      </c>
      <c r="E9" s="3" t="s">
        <v>92</v>
      </c>
      <c r="F9" s="3" t="s">
        <v>39</v>
      </c>
      <c r="G9" s="3" t="s">
        <v>40</v>
      </c>
      <c r="H9" s="3" t="s">
        <v>54</v>
      </c>
      <c r="I9" s="3" t="s">
        <v>48</v>
      </c>
      <c r="J9" s="3" t="s">
        <v>30</v>
      </c>
      <c r="K9" s="3" t="s">
        <v>93</v>
      </c>
      <c r="L9" s="3" t="s">
        <v>31</v>
      </c>
      <c r="M9" s="3" t="s">
        <v>37</v>
      </c>
      <c r="N9" s="3" t="s">
        <v>33</v>
      </c>
      <c r="O9" s="2">
        <v>45359</v>
      </c>
      <c r="P9" s="4">
        <v>1.82</v>
      </c>
      <c r="Q9" s="4">
        <v>2.98</v>
      </c>
      <c r="R9" s="4">
        <v>1.1599999999999999</v>
      </c>
      <c r="S9" s="3">
        <v>22</v>
      </c>
      <c r="T9" s="4">
        <v>65.56</v>
      </c>
      <c r="U9" s="5">
        <v>0.04</v>
      </c>
      <c r="V9" s="6">
        <v>2.6224000000000003</v>
      </c>
      <c r="W9" s="6">
        <v>62.937600000000003</v>
      </c>
      <c r="X9" s="4">
        <v>1.58</v>
      </c>
      <c r="Y9" s="7">
        <v>64.517600000000002</v>
      </c>
    </row>
    <row r="10" spans="1:25" x14ac:dyDescent="0.25">
      <c r="A10" t="s">
        <v>94</v>
      </c>
      <c r="B10" s="2">
        <v>45359</v>
      </c>
      <c r="C10" s="3">
        <v>2024</v>
      </c>
      <c r="D10" s="3" t="s">
        <v>95</v>
      </c>
      <c r="E10" s="3" t="s">
        <v>96</v>
      </c>
      <c r="F10" s="3" t="s">
        <v>39</v>
      </c>
      <c r="G10" s="3" t="s">
        <v>40</v>
      </c>
      <c r="H10" s="3" t="s">
        <v>47</v>
      </c>
      <c r="I10" s="3" t="s">
        <v>97</v>
      </c>
      <c r="J10" s="3" t="s">
        <v>55</v>
      </c>
      <c r="K10" s="3" t="s">
        <v>98</v>
      </c>
      <c r="L10" s="3" t="s">
        <v>46</v>
      </c>
      <c r="M10" s="3" t="s">
        <v>32</v>
      </c>
      <c r="N10" s="3" t="s">
        <v>33</v>
      </c>
      <c r="O10" s="2">
        <v>45361</v>
      </c>
      <c r="P10" s="4">
        <v>81.59</v>
      </c>
      <c r="Q10" s="4">
        <v>159.99</v>
      </c>
      <c r="R10" s="4">
        <v>78.400000000000006</v>
      </c>
      <c r="S10" s="3">
        <v>30</v>
      </c>
      <c r="T10" s="4">
        <v>4799.7000000000007</v>
      </c>
      <c r="U10" s="5">
        <v>0.01</v>
      </c>
      <c r="V10" s="6">
        <v>47.997000000000007</v>
      </c>
      <c r="W10" s="6">
        <v>4751.7030000000004</v>
      </c>
      <c r="X10" s="4">
        <v>5.5</v>
      </c>
      <c r="Y10" s="7">
        <v>4757.2030000000004</v>
      </c>
    </row>
    <row r="11" spans="1:25" x14ac:dyDescent="0.25">
      <c r="A11" t="s">
        <v>99</v>
      </c>
      <c r="B11" s="2">
        <v>45360</v>
      </c>
      <c r="C11" s="3">
        <v>2024</v>
      </c>
      <c r="D11" s="3" t="s">
        <v>100</v>
      </c>
      <c r="E11" s="3" t="s">
        <v>101</v>
      </c>
      <c r="F11" s="3" t="s">
        <v>39</v>
      </c>
      <c r="G11" s="3" t="s">
        <v>40</v>
      </c>
      <c r="H11" s="3" t="s">
        <v>28</v>
      </c>
      <c r="I11" s="3" t="s">
        <v>64</v>
      </c>
      <c r="J11" s="3" t="s">
        <v>49</v>
      </c>
      <c r="K11" s="3" t="s">
        <v>58</v>
      </c>
      <c r="L11" s="3" t="s">
        <v>31</v>
      </c>
      <c r="M11" s="3" t="s">
        <v>32</v>
      </c>
      <c r="N11" s="3" t="s">
        <v>33</v>
      </c>
      <c r="O11" s="2">
        <v>45367</v>
      </c>
      <c r="P11" s="4">
        <v>5.33</v>
      </c>
      <c r="Q11" s="4">
        <v>8.6</v>
      </c>
      <c r="R11" s="4">
        <v>3.2699999999999996</v>
      </c>
      <c r="S11" s="3">
        <v>37</v>
      </c>
      <c r="T11" s="4">
        <v>318.2</v>
      </c>
      <c r="U11" s="5">
        <v>0.04</v>
      </c>
      <c r="V11" s="6">
        <v>12.728</v>
      </c>
      <c r="W11" s="6">
        <v>305.47199999999998</v>
      </c>
      <c r="X11" s="4">
        <v>6.19</v>
      </c>
      <c r="Y11" s="7">
        <v>311.66199999999998</v>
      </c>
    </row>
    <row r="12" spans="1:25" x14ac:dyDescent="0.25">
      <c r="A12" t="s">
        <v>102</v>
      </c>
      <c r="B12" s="2">
        <v>45360</v>
      </c>
      <c r="C12" s="3">
        <v>2024</v>
      </c>
      <c r="D12" s="3" t="s">
        <v>103</v>
      </c>
      <c r="E12" s="3" t="s">
        <v>87</v>
      </c>
      <c r="F12" s="3" t="s">
        <v>39</v>
      </c>
      <c r="G12" s="3" t="s">
        <v>40</v>
      </c>
      <c r="H12" s="3" t="s">
        <v>54</v>
      </c>
      <c r="I12" s="3" t="s">
        <v>88</v>
      </c>
      <c r="J12" s="3" t="s">
        <v>60</v>
      </c>
      <c r="K12" s="3" t="s">
        <v>104</v>
      </c>
      <c r="L12" s="3" t="s">
        <v>31</v>
      </c>
      <c r="M12" s="3" t="s">
        <v>32</v>
      </c>
      <c r="N12" s="3" t="s">
        <v>33</v>
      </c>
      <c r="O12" s="2">
        <v>45360</v>
      </c>
      <c r="P12" s="4">
        <v>3.52</v>
      </c>
      <c r="Q12" s="4">
        <v>5.68</v>
      </c>
      <c r="R12" s="4">
        <v>2.1599999999999997</v>
      </c>
      <c r="S12" s="3">
        <v>24</v>
      </c>
      <c r="T12" s="4">
        <v>136.32</v>
      </c>
      <c r="U12" s="5">
        <v>0.06</v>
      </c>
      <c r="V12" s="6">
        <v>8.1791999999999998</v>
      </c>
      <c r="W12" s="6">
        <v>128.14079999999998</v>
      </c>
      <c r="X12" s="4">
        <v>1.39</v>
      </c>
      <c r="Y12" s="7">
        <v>129.53079999999997</v>
      </c>
    </row>
    <row r="13" spans="1:25" x14ac:dyDescent="0.25">
      <c r="A13" t="s">
        <v>105</v>
      </c>
      <c r="B13" s="2">
        <v>45363</v>
      </c>
      <c r="C13" s="3">
        <v>2024</v>
      </c>
      <c r="D13" s="3" t="s">
        <v>106</v>
      </c>
      <c r="E13" s="3" t="s">
        <v>107</v>
      </c>
      <c r="F13" s="3" t="s">
        <v>39</v>
      </c>
      <c r="G13" s="3" t="s">
        <v>40</v>
      </c>
      <c r="H13" s="3" t="s">
        <v>41</v>
      </c>
      <c r="I13" s="3" t="s">
        <v>48</v>
      </c>
      <c r="J13" s="3" t="s">
        <v>55</v>
      </c>
      <c r="K13" s="3" t="s">
        <v>108</v>
      </c>
      <c r="L13" s="3" t="s">
        <v>31</v>
      </c>
      <c r="M13" s="3" t="s">
        <v>78</v>
      </c>
      <c r="N13" s="3" t="s">
        <v>33</v>
      </c>
      <c r="O13" s="2">
        <v>45364</v>
      </c>
      <c r="P13" s="4">
        <v>0.94</v>
      </c>
      <c r="Q13" s="4">
        <v>2.08</v>
      </c>
      <c r="R13" s="4">
        <v>1.1400000000000001</v>
      </c>
      <c r="S13" s="3">
        <v>4</v>
      </c>
      <c r="T13" s="4">
        <v>8.32</v>
      </c>
      <c r="U13" s="5">
        <v>0.02</v>
      </c>
      <c r="V13" s="6">
        <v>0.16640000000000002</v>
      </c>
      <c r="W13" s="6">
        <v>8.1536000000000008</v>
      </c>
      <c r="X13" s="4">
        <v>2.56</v>
      </c>
      <c r="Y13" s="7">
        <v>10.713600000000001</v>
      </c>
    </row>
    <row r="14" spans="1:25" x14ac:dyDescent="0.25">
      <c r="A14" t="s">
        <v>109</v>
      </c>
      <c r="B14" s="2">
        <v>45383</v>
      </c>
      <c r="C14" s="3">
        <v>2024</v>
      </c>
      <c r="D14" s="3" t="s">
        <v>110</v>
      </c>
      <c r="E14" s="3" t="s">
        <v>111</v>
      </c>
      <c r="F14" s="3" t="s">
        <v>26</v>
      </c>
      <c r="G14" s="3" t="s">
        <v>27</v>
      </c>
      <c r="H14" s="3" t="s">
        <v>41</v>
      </c>
      <c r="I14" s="3" t="s">
        <v>36</v>
      </c>
      <c r="J14" s="3" t="s">
        <v>55</v>
      </c>
      <c r="K14" s="3" t="s">
        <v>58</v>
      </c>
      <c r="L14" s="3" t="s">
        <v>31</v>
      </c>
      <c r="M14" s="3" t="s">
        <v>32</v>
      </c>
      <c r="N14" s="3" t="s">
        <v>33</v>
      </c>
      <c r="O14" s="2">
        <v>45384</v>
      </c>
      <c r="P14" s="4">
        <v>5.33</v>
      </c>
      <c r="Q14" s="4">
        <v>8.6</v>
      </c>
      <c r="R14" s="4">
        <v>3.2699999999999996</v>
      </c>
      <c r="S14" s="3">
        <v>36</v>
      </c>
      <c r="T14" s="4">
        <v>309.59999999999997</v>
      </c>
      <c r="U14" s="5">
        <v>0.06</v>
      </c>
      <c r="V14" s="6">
        <v>18.575999999999997</v>
      </c>
      <c r="W14" s="6">
        <v>291.02399999999994</v>
      </c>
      <c r="X14" s="4">
        <v>6.19</v>
      </c>
      <c r="Y14" s="7">
        <v>297.21399999999994</v>
      </c>
    </row>
    <row r="15" spans="1:25" x14ac:dyDescent="0.25">
      <c r="A15" t="s">
        <v>112</v>
      </c>
      <c r="B15" s="2">
        <v>45384</v>
      </c>
      <c r="C15" s="3">
        <v>2024</v>
      </c>
      <c r="D15" s="3" t="s">
        <v>113</v>
      </c>
      <c r="E15" s="3" t="s">
        <v>114</v>
      </c>
      <c r="F15" s="3" t="s">
        <v>26</v>
      </c>
      <c r="G15" s="3" t="s">
        <v>27</v>
      </c>
      <c r="H15" s="3" t="s">
        <v>54</v>
      </c>
      <c r="I15" s="3" t="s">
        <v>36</v>
      </c>
      <c r="J15" s="3" t="s">
        <v>55</v>
      </c>
      <c r="K15" s="3" t="s">
        <v>115</v>
      </c>
      <c r="L15" s="3" t="s">
        <v>31</v>
      </c>
      <c r="M15" s="3" t="s">
        <v>37</v>
      </c>
      <c r="N15" s="3" t="s">
        <v>33</v>
      </c>
      <c r="O15" s="2">
        <v>45386</v>
      </c>
      <c r="P15" s="4">
        <v>2.52</v>
      </c>
      <c r="Q15" s="4">
        <v>4</v>
      </c>
      <c r="R15" s="4">
        <v>1.48</v>
      </c>
      <c r="S15" s="3">
        <v>31</v>
      </c>
      <c r="T15" s="4">
        <v>124</v>
      </c>
      <c r="U15" s="5">
        <v>0.01</v>
      </c>
      <c r="V15" s="6">
        <v>1.24</v>
      </c>
      <c r="W15" s="6">
        <v>122.76</v>
      </c>
      <c r="X15" s="4">
        <v>1.3</v>
      </c>
      <c r="Y15" s="7">
        <v>124.06</v>
      </c>
    </row>
    <row r="16" spans="1:25" x14ac:dyDescent="0.25">
      <c r="A16" t="s">
        <v>116</v>
      </c>
      <c r="B16" s="2">
        <v>45391</v>
      </c>
      <c r="C16" s="3">
        <v>2024</v>
      </c>
      <c r="D16" s="3" t="s">
        <v>117</v>
      </c>
      <c r="E16" s="3" t="s">
        <v>118</v>
      </c>
      <c r="F16" s="3" t="s">
        <v>39</v>
      </c>
      <c r="G16" s="3" t="s">
        <v>40</v>
      </c>
      <c r="H16" s="3" t="s">
        <v>28</v>
      </c>
      <c r="I16" s="3" t="s">
        <v>50</v>
      </c>
      <c r="J16" s="3" t="s">
        <v>30</v>
      </c>
      <c r="K16" s="3" t="s">
        <v>119</v>
      </c>
      <c r="L16" s="3" t="s">
        <v>31</v>
      </c>
      <c r="M16" s="3" t="s">
        <v>32</v>
      </c>
      <c r="N16" s="3" t="s">
        <v>44</v>
      </c>
      <c r="O16" s="2">
        <v>45392</v>
      </c>
      <c r="P16" s="4">
        <v>7.61</v>
      </c>
      <c r="Q16" s="4">
        <v>12.28</v>
      </c>
      <c r="R16" s="4">
        <v>4.669999999999999</v>
      </c>
      <c r="S16" s="3">
        <v>29</v>
      </c>
      <c r="T16" s="4">
        <v>356.12</v>
      </c>
      <c r="U16" s="5">
        <v>0</v>
      </c>
      <c r="V16" s="6">
        <v>0</v>
      </c>
      <c r="W16" s="6">
        <v>356.12</v>
      </c>
      <c r="X16" s="4">
        <v>6.35</v>
      </c>
      <c r="Y16" s="7">
        <v>362.47</v>
      </c>
    </row>
    <row r="17" spans="1:25" x14ac:dyDescent="0.25">
      <c r="A17" t="s">
        <v>120</v>
      </c>
      <c r="B17" s="2">
        <v>45392</v>
      </c>
      <c r="C17" s="3">
        <v>2024</v>
      </c>
      <c r="D17" s="3" t="s">
        <v>121</v>
      </c>
      <c r="E17" s="3" t="s">
        <v>122</v>
      </c>
      <c r="F17" s="3" t="s">
        <v>26</v>
      </c>
      <c r="G17" s="3" t="s">
        <v>27</v>
      </c>
      <c r="H17" s="3" t="s">
        <v>41</v>
      </c>
      <c r="I17" s="3" t="s">
        <v>36</v>
      </c>
      <c r="J17" s="3" t="s">
        <v>60</v>
      </c>
      <c r="K17" s="3" t="s">
        <v>123</v>
      </c>
      <c r="L17" s="3" t="s">
        <v>31</v>
      </c>
      <c r="M17" s="3" t="s">
        <v>32</v>
      </c>
      <c r="N17" s="3" t="s">
        <v>33</v>
      </c>
      <c r="O17" s="2">
        <v>45394</v>
      </c>
      <c r="P17" s="4">
        <v>1.59</v>
      </c>
      <c r="Q17" s="4">
        <v>2.61</v>
      </c>
      <c r="R17" s="4">
        <v>1.0199999999999998</v>
      </c>
      <c r="S17" s="3">
        <v>9</v>
      </c>
      <c r="T17" s="4">
        <v>23.49</v>
      </c>
      <c r="U17" s="5">
        <v>0.06</v>
      </c>
      <c r="V17" s="6">
        <v>1.4093999999999998</v>
      </c>
      <c r="W17" s="6">
        <v>22.080599999999997</v>
      </c>
      <c r="X17" s="4">
        <v>0.5</v>
      </c>
      <c r="Y17" s="7">
        <v>22.580599999999997</v>
      </c>
    </row>
    <row r="18" spans="1:25" x14ac:dyDescent="0.25">
      <c r="A18" t="s">
        <v>124</v>
      </c>
      <c r="B18" s="2">
        <v>45392</v>
      </c>
      <c r="C18" s="3">
        <v>2024</v>
      </c>
      <c r="D18" s="3" t="s">
        <v>125</v>
      </c>
      <c r="E18" s="3" t="s">
        <v>126</v>
      </c>
      <c r="F18" s="3" t="s">
        <v>39</v>
      </c>
      <c r="G18" s="3" t="s">
        <v>40</v>
      </c>
      <c r="H18" s="3" t="s">
        <v>41</v>
      </c>
      <c r="I18" s="3" t="s">
        <v>127</v>
      </c>
      <c r="J18" s="3" t="s">
        <v>60</v>
      </c>
      <c r="K18" s="3" t="s">
        <v>128</v>
      </c>
      <c r="L18" s="3" t="s">
        <v>46</v>
      </c>
      <c r="M18" s="3" t="s">
        <v>32</v>
      </c>
      <c r="N18" s="3" t="s">
        <v>33</v>
      </c>
      <c r="O18" s="2">
        <v>45392</v>
      </c>
      <c r="P18" s="4">
        <v>6.39</v>
      </c>
      <c r="Q18" s="4">
        <v>19.98</v>
      </c>
      <c r="R18" s="4">
        <v>13.59</v>
      </c>
      <c r="S18" s="3">
        <v>7</v>
      </c>
      <c r="T18" s="4">
        <v>139.86000000000001</v>
      </c>
      <c r="U18" s="5">
        <v>0.01</v>
      </c>
      <c r="V18" s="6">
        <v>1.3986000000000001</v>
      </c>
      <c r="W18" s="6">
        <v>138.46140000000003</v>
      </c>
      <c r="X18" s="4">
        <v>4</v>
      </c>
      <c r="Y18" s="7">
        <v>142.46140000000003</v>
      </c>
    </row>
    <row r="19" spans="1:25" x14ac:dyDescent="0.25">
      <c r="A19" t="s">
        <v>129</v>
      </c>
      <c r="B19" s="2">
        <v>45394</v>
      </c>
      <c r="C19" s="3">
        <v>2024</v>
      </c>
      <c r="D19" s="3" t="s">
        <v>130</v>
      </c>
      <c r="E19" s="3" t="s">
        <v>131</v>
      </c>
      <c r="F19" s="3" t="s">
        <v>26</v>
      </c>
      <c r="G19" s="3" t="s">
        <v>27</v>
      </c>
      <c r="H19" s="3" t="s">
        <v>41</v>
      </c>
      <c r="I19" s="3" t="s">
        <v>29</v>
      </c>
      <c r="J19" s="3" t="s">
        <v>60</v>
      </c>
      <c r="K19" s="3" t="s">
        <v>132</v>
      </c>
      <c r="L19" s="3" t="s">
        <v>46</v>
      </c>
      <c r="M19" s="3" t="s">
        <v>32</v>
      </c>
      <c r="N19" s="3" t="s">
        <v>44</v>
      </c>
      <c r="O19" s="2">
        <v>45395</v>
      </c>
      <c r="P19" s="4">
        <v>32.020000000000003</v>
      </c>
      <c r="Q19" s="4">
        <v>152.47999999999999</v>
      </c>
      <c r="R19" s="4">
        <v>120.45999999999998</v>
      </c>
      <c r="S19" s="3">
        <v>16</v>
      </c>
      <c r="T19" s="4">
        <v>2439.6799999999998</v>
      </c>
      <c r="U19" s="5">
        <v>0.1</v>
      </c>
      <c r="V19" s="6">
        <v>243.96799999999999</v>
      </c>
      <c r="W19" s="6">
        <v>2195.712</v>
      </c>
      <c r="X19" s="4">
        <v>4</v>
      </c>
      <c r="Y19" s="7">
        <v>2199.712</v>
      </c>
    </row>
    <row r="20" spans="1:25" x14ac:dyDescent="0.25">
      <c r="A20" t="s">
        <v>133</v>
      </c>
      <c r="B20" s="2">
        <v>45394</v>
      </c>
      <c r="C20" s="3">
        <v>2024</v>
      </c>
      <c r="D20" s="3" t="s">
        <v>134</v>
      </c>
      <c r="E20" s="3" t="s">
        <v>135</v>
      </c>
      <c r="F20" s="3" t="s">
        <v>39</v>
      </c>
      <c r="G20" s="3" t="s">
        <v>40</v>
      </c>
      <c r="H20" s="3" t="s">
        <v>54</v>
      </c>
      <c r="I20" s="3" t="s">
        <v>136</v>
      </c>
      <c r="J20" s="3" t="s">
        <v>55</v>
      </c>
      <c r="K20" s="3" t="s">
        <v>119</v>
      </c>
      <c r="L20" s="3" t="s">
        <v>31</v>
      </c>
      <c r="M20" s="3" t="s">
        <v>32</v>
      </c>
      <c r="N20" s="3" t="s">
        <v>33</v>
      </c>
      <c r="O20" s="2">
        <v>45396</v>
      </c>
      <c r="P20" s="4">
        <v>7.61</v>
      </c>
      <c r="Q20" s="4">
        <v>12.28</v>
      </c>
      <c r="R20" s="4">
        <v>4.669999999999999</v>
      </c>
      <c r="S20" s="3">
        <v>27</v>
      </c>
      <c r="T20" s="4">
        <v>331.56</v>
      </c>
      <c r="U20" s="5">
        <v>0.03</v>
      </c>
      <c r="V20" s="6">
        <v>9.9467999999999996</v>
      </c>
      <c r="W20" s="6">
        <v>321.61320000000001</v>
      </c>
      <c r="X20" s="4">
        <v>6.35</v>
      </c>
      <c r="Y20" s="7">
        <v>327.96320000000003</v>
      </c>
    </row>
    <row r="21" spans="1:25" x14ac:dyDescent="0.25">
      <c r="A21" t="s">
        <v>137</v>
      </c>
      <c r="B21" s="2">
        <v>45394</v>
      </c>
      <c r="C21" s="3">
        <v>2024</v>
      </c>
      <c r="D21" s="3" t="s">
        <v>138</v>
      </c>
      <c r="E21" s="3" t="s">
        <v>53</v>
      </c>
      <c r="F21" s="3" t="s">
        <v>39</v>
      </c>
      <c r="G21" s="3" t="s">
        <v>40</v>
      </c>
      <c r="H21" s="3" t="s">
        <v>47</v>
      </c>
      <c r="I21" s="3" t="s">
        <v>42</v>
      </c>
      <c r="J21" s="3" t="s">
        <v>55</v>
      </c>
      <c r="K21" s="3" t="s">
        <v>139</v>
      </c>
      <c r="L21" s="3" t="s">
        <v>46</v>
      </c>
      <c r="M21" s="3" t="s">
        <v>32</v>
      </c>
      <c r="N21" s="3" t="s">
        <v>33</v>
      </c>
      <c r="O21" s="2">
        <v>45396</v>
      </c>
      <c r="P21" s="4">
        <v>10.07</v>
      </c>
      <c r="Q21" s="4">
        <v>15.98</v>
      </c>
      <c r="R21" s="4">
        <v>5.91</v>
      </c>
      <c r="S21" s="3">
        <v>39</v>
      </c>
      <c r="T21" s="4">
        <v>623.22</v>
      </c>
      <c r="U21" s="5">
        <v>0.09</v>
      </c>
      <c r="V21" s="6">
        <v>56.089800000000004</v>
      </c>
      <c r="W21" s="6">
        <v>567.13020000000006</v>
      </c>
      <c r="X21" s="4">
        <v>4</v>
      </c>
      <c r="Y21" s="7">
        <v>571.13020000000006</v>
      </c>
    </row>
    <row r="22" spans="1:25" x14ac:dyDescent="0.25">
      <c r="A22" t="s">
        <v>140</v>
      </c>
      <c r="B22" s="2">
        <v>45395</v>
      </c>
      <c r="C22" s="3">
        <v>2024</v>
      </c>
      <c r="D22" s="3" t="s">
        <v>141</v>
      </c>
      <c r="E22" s="3" t="s">
        <v>45</v>
      </c>
      <c r="F22" s="3" t="s">
        <v>26</v>
      </c>
      <c r="G22" s="3" t="s">
        <v>27</v>
      </c>
      <c r="H22" s="3" t="s">
        <v>41</v>
      </c>
      <c r="I22" s="3" t="s">
        <v>29</v>
      </c>
      <c r="J22" s="3" t="s">
        <v>55</v>
      </c>
      <c r="K22" s="3" t="s">
        <v>142</v>
      </c>
      <c r="L22" s="3" t="s">
        <v>31</v>
      </c>
      <c r="M22" s="3" t="s">
        <v>78</v>
      </c>
      <c r="N22" s="3" t="s">
        <v>33</v>
      </c>
      <c r="O22" s="2">
        <v>45397</v>
      </c>
      <c r="P22" s="4">
        <v>4.79</v>
      </c>
      <c r="Q22" s="4">
        <v>11.97</v>
      </c>
      <c r="R22" s="4">
        <v>7.1800000000000006</v>
      </c>
      <c r="S22" s="3">
        <v>7</v>
      </c>
      <c r="T22" s="4">
        <v>83.79</v>
      </c>
      <c r="U22" s="5">
        <v>0.05</v>
      </c>
      <c r="V22" s="6">
        <v>4.1895000000000007</v>
      </c>
      <c r="W22" s="6">
        <v>79.600500000000011</v>
      </c>
      <c r="X22" s="4">
        <v>5.81</v>
      </c>
      <c r="Y22" s="7">
        <v>85.410500000000013</v>
      </c>
    </row>
    <row r="23" spans="1:25" x14ac:dyDescent="0.25">
      <c r="A23" t="s">
        <v>143</v>
      </c>
      <c r="B23" s="2">
        <v>45396</v>
      </c>
      <c r="C23" s="3">
        <v>2024</v>
      </c>
      <c r="D23" s="3" t="s">
        <v>144</v>
      </c>
      <c r="E23" s="3" t="s">
        <v>131</v>
      </c>
      <c r="F23" s="3" t="s">
        <v>26</v>
      </c>
      <c r="G23" s="3" t="s">
        <v>27</v>
      </c>
      <c r="H23" s="3" t="s">
        <v>28</v>
      </c>
      <c r="I23" s="3" t="s">
        <v>29</v>
      </c>
      <c r="J23" s="3" t="s">
        <v>55</v>
      </c>
      <c r="K23" s="3" t="s">
        <v>145</v>
      </c>
      <c r="L23" s="3" t="s">
        <v>31</v>
      </c>
      <c r="M23" s="3" t="s">
        <v>32</v>
      </c>
      <c r="N23" s="3" t="s">
        <v>33</v>
      </c>
      <c r="O23" s="2">
        <v>45397</v>
      </c>
      <c r="P23" s="4">
        <v>8.7100000000000009</v>
      </c>
      <c r="Q23" s="4">
        <v>14.28</v>
      </c>
      <c r="R23" s="4">
        <v>5.5699999999999985</v>
      </c>
      <c r="S23" s="3">
        <v>42</v>
      </c>
      <c r="T23" s="4">
        <v>599.76</v>
      </c>
      <c r="U23" s="5">
        <v>0.1</v>
      </c>
      <c r="V23" s="6">
        <v>59.975999999999999</v>
      </c>
      <c r="W23" s="6">
        <v>539.78399999999999</v>
      </c>
      <c r="X23" s="4">
        <v>2.99</v>
      </c>
      <c r="Y23" s="7">
        <v>542.774</v>
      </c>
    </row>
    <row r="24" spans="1:25" x14ac:dyDescent="0.25">
      <c r="A24" t="s">
        <v>146</v>
      </c>
      <c r="B24" s="2">
        <v>45396</v>
      </c>
      <c r="C24" s="3">
        <v>2024</v>
      </c>
      <c r="D24" s="3" t="s">
        <v>147</v>
      </c>
      <c r="E24" s="3" t="s">
        <v>148</v>
      </c>
      <c r="F24" s="3" t="s">
        <v>39</v>
      </c>
      <c r="G24" s="3" t="s">
        <v>40</v>
      </c>
      <c r="H24" s="3" t="s">
        <v>54</v>
      </c>
      <c r="I24" s="3" t="s">
        <v>97</v>
      </c>
      <c r="J24" s="3" t="s">
        <v>43</v>
      </c>
      <c r="K24" s="3" t="s">
        <v>56</v>
      </c>
      <c r="L24" s="3" t="s">
        <v>31</v>
      </c>
      <c r="M24" s="3" t="s">
        <v>32</v>
      </c>
      <c r="N24" s="3" t="s">
        <v>33</v>
      </c>
      <c r="O24" s="2">
        <v>45397</v>
      </c>
      <c r="P24" s="4">
        <v>54.29</v>
      </c>
      <c r="Q24" s="4">
        <v>90.48</v>
      </c>
      <c r="R24" s="4">
        <v>36.190000000000005</v>
      </c>
      <c r="S24" s="3">
        <v>15</v>
      </c>
      <c r="T24" s="4">
        <v>1357.2</v>
      </c>
      <c r="U24" s="5">
        <v>0.05</v>
      </c>
      <c r="V24" s="6">
        <v>67.86</v>
      </c>
      <c r="W24" s="6">
        <v>1289.3400000000001</v>
      </c>
      <c r="X24" s="4">
        <v>19.989999999999998</v>
      </c>
      <c r="Y24" s="7">
        <v>1309.3300000000002</v>
      </c>
    </row>
    <row r="25" spans="1:25" x14ac:dyDescent="0.25">
      <c r="A25" t="s">
        <v>149</v>
      </c>
      <c r="B25" s="2">
        <v>45397</v>
      </c>
      <c r="C25" s="3">
        <v>2024</v>
      </c>
      <c r="D25" s="3" t="s">
        <v>150</v>
      </c>
      <c r="E25" s="3" t="s">
        <v>151</v>
      </c>
      <c r="F25" s="3" t="s">
        <v>39</v>
      </c>
      <c r="G25" s="3" t="s">
        <v>40</v>
      </c>
      <c r="H25" s="3" t="s">
        <v>54</v>
      </c>
      <c r="I25" s="3" t="s">
        <v>127</v>
      </c>
      <c r="J25" s="3" t="s">
        <v>43</v>
      </c>
      <c r="K25" s="3" t="s">
        <v>104</v>
      </c>
      <c r="L25" s="3" t="s">
        <v>31</v>
      </c>
      <c r="M25" s="3" t="s">
        <v>32</v>
      </c>
      <c r="N25" s="3" t="s">
        <v>33</v>
      </c>
      <c r="O25" s="2">
        <v>45399</v>
      </c>
      <c r="P25" s="4">
        <v>3.52</v>
      </c>
      <c r="Q25" s="4">
        <v>5.68</v>
      </c>
      <c r="R25" s="4">
        <v>2.1599999999999997</v>
      </c>
      <c r="S25" s="3">
        <v>20</v>
      </c>
      <c r="T25" s="4">
        <v>113.6</v>
      </c>
      <c r="U25" s="5">
        <v>7.0000000000000007E-2</v>
      </c>
      <c r="V25" s="6">
        <v>7.952</v>
      </c>
      <c r="W25" s="6">
        <v>105.648</v>
      </c>
      <c r="X25" s="4">
        <v>1.39</v>
      </c>
      <c r="Y25" s="7">
        <v>107.038</v>
      </c>
    </row>
    <row r="26" spans="1:25" x14ac:dyDescent="0.25">
      <c r="A26" t="s">
        <v>152</v>
      </c>
      <c r="B26" s="2">
        <v>45398</v>
      </c>
      <c r="C26" s="3">
        <v>2024</v>
      </c>
      <c r="D26" s="3" t="s">
        <v>153</v>
      </c>
      <c r="E26" s="3" t="s">
        <v>63</v>
      </c>
      <c r="F26" s="3" t="s">
        <v>39</v>
      </c>
      <c r="G26" s="3" t="s">
        <v>40</v>
      </c>
      <c r="H26" s="3" t="s">
        <v>41</v>
      </c>
      <c r="I26" s="3" t="s">
        <v>64</v>
      </c>
      <c r="J26" s="3" t="s">
        <v>43</v>
      </c>
      <c r="K26" s="3" t="s">
        <v>154</v>
      </c>
      <c r="L26" s="3" t="s">
        <v>31</v>
      </c>
      <c r="M26" s="3" t="s">
        <v>37</v>
      </c>
      <c r="N26" s="3" t="s">
        <v>33</v>
      </c>
      <c r="O26" s="2">
        <v>45400</v>
      </c>
      <c r="P26" s="4">
        <v>3.47</v>
      </c>
      <c r="Q26" s="4">
        <v>6.68</v>
      </c>
      <c r="R26" s="4">
        <v>3.2099999999999995</v>
      </c>
      <c r="S26" s="3">
        <v>41</v>
      </c>
      <c r="T26" s="4">
        <v>273.88</v>
      </c>
      <c r="U26" s="5">
        <v>0.08</v>
      </c>
      <c r="V26" s="6">
        <v>21.910399999999999</v>
      </c>
      <c r="W26" s="6">
        <v>251.96959999999999</v>
      </c>
      <c r="X26" s="4">
        <v>1.5</v>
      </c>
      <c r="Y26" s="7">
        <v>253.46959999999999</v>
      </c>
    </row>
    <row r="27" spans="1:25" x14ac:dyDescent="0.25">
      <c r="A27" t="s">
        <v>155</v>
      </c>
      <c r="B27" s="2">
        <v>45399</v>
      </c>
      <c r="C27" s="3">
        <v>2024</v>
      </c>
      <c r="D27" s="3" t="s">
        <v>156</v>
      </c>
      <c r="E27" s="3" t="s">
        <v>157</v>
      </c>
      <c r="F27" s="3" t="s">
        <v>39</v>
      </c>
      <c r="G27" s="3" t="s">
        <v>40</v>
      </c>
      <c r="H27" s="3" t="s">
        <v>41</v>
      </c>
      <c r="I27" s="3" t="s">
        <v>88</v>
      </c>
      <c r="J27" s="3" t="s">
        <v>60</v>
      </c>
      <c r="K27" s="3" t="s">
        <v>158</v>
      </c>
      <c r="L27" s="3" t="s">
        <v>46</v>
      </c>
      <c r="M27" s="3" t="s">
        <v>78</v>
      </c>
      <c r="N27" s="3" t="s">
        <v>33</v>
      </c>
      <c r="O27" s="2">
        <v>45400</v>
      </c>
      <c r="P27" s="4">
        <v>1.87</v>
      </c>
      <c r="Q27" s="4">
        <v>2.2253000000000003</v>
      </c>
      <c r="R27" s="4">
        <v>0.35530000000000017</v>
      </c>
      <c r="S27" s="3">
        <v>41</v>
      </c>
      <c r="T27" s="4">
        <v>91.237300000000005</v>
      </c>
      <c r="U27" s="5">
        <v>0.06</v>
      </c>
      <c r="V27" s="6">
        <v>5.4742379999999997</v>
      </c>
      <c r="W27" s="6">
        <v>85.763062000000005</v>
      </c>
      <c r="X27" s="4">
        <v>2.83</v>
      </c>
      <c r="Y27" s="7">
        <v>88.593062000000003</v>
      </c>
    </row>
    <row r="28" spans="1:25" x14ac:dyDescent="0.25">
      <c r="A28" t="s">
        <v>159</v>
      </c>
      <c r="B28" s="2">
        <v>45399</v>
      </c>
      <c r="C28" s="3">
        <v>2024</v>
      </c>
      <c r="D28" s="3" t="s">
        <v>156</v>
      </c>
      <c r="E28" s="3" t="s">
        <v>157</v>
      </c>
      <c r="F28" s="3" t="s">
        <v>39</v>
      </c>
      <c r="G28" s="3" t="s">
        <v>40</v>
      </c>
      <c r="H28" s="3" t="s">
        <v>41</v>
      </c>
      <c r="I28" s="3" t="s">
        <v>88</v>
      </c>
      <c r="J28" s="3" t="s">
        <v>60</v>
      </c>
      <c r="K28" s="3" t="s">
        <v>154</v>
      </c>
      <c r="L28" s="3" t="s">
        <v>31</v>
      </c>
      <c r="M28" s="3" t="s">
        <v>37</v>
      </c>
      <c r="N28" s="3" t="s">
        <v>33</v>
      </c>
      <c r="O28" s="2">
        <v>45400</v>
      </c>
      <c r="P28" s="4">
        <v>3.47</v>
      </c>
      <c r="Q28" s="4">
        <v>6.68</v>
      </c>
      <c r="R28" s="4">
        <v>3.2099999999999995</v>
      </c>
      <c r="S28" s="3">
        <v>2</v>
      </c>
      <c r="T28" s="4">
        <v>13.36</v>
      </c>
      <c r="U28" s="5">
        <v>0.01</v>
      </c>
      <c r="V28" s="6">
        <v>0.1336</v>
      </c>
      <c r="W28" s="6">
        <v>13.2264</v>
      </c>
      <c r="X28" s="4">
        <v>1.5</v>
      </c>
      <c r="Y28" s="7">
        <v>14.7264</v>
      </c>
    </row>
    <row r="29" spans="1:25" x14ac:dyDescent="0.25">
      <c r="A29" t="s">
        <v>160</v>
      </c>
      <c r="B29" s="2">
        <v>45399</v>
      </c>
      <c r="C29" s="3">
        <v>2024</v>
      </c>
      <c r="D29" s="3" t="s">
        <v>161</v>
      </c>
      <c r="E29" s="3" t="s">
        <v>25</v>
      </c>
      <c r="F29" s="3" t="s">
        <v>26</v>
      </c>
      <c r="G29" s="3" t="s">
        <v>27</v>
      </c>
      <c r="H29" s="3" t="s">
        <v>41</v>
      </c>
      <c r="I29" s="3" t="s">
        <v>29</v>
      </c>
      <c r="J29" s="3" t="s">
        <v>49</v>
      </c>
      <c r="K29" s="3" t="s">
        <v>139</v>
      </c>
      <c r="L29" s="3" t="s">
        <v>46</v>
      </c>
      <c r="M29" s="3" t="s">
        <v>32</v>
      </c>
      <c r="N29" s="3" t="s">
        <v>33</v>
      </c>
      <c r="O29" s="2">
        <v>45404</v>
      </c>
      <c r="P29" s="4">
        <v>10.07</v>
      </c>
      <c r="Q29" s="4">
        <v>15.98</v>
      </c>
      <c r="R29" s="4">
        <v>5.91</v>
      </c>
      <c r="S29" s="3">
        <v>34</v>
      </c>
      <c r="T29" s="4">
        <v>543.32000000000005</v>
      </c>
      <c r="U29" s="5">
        <v>0.1</v>
      </c>
      <c r="V29" s="6">
        <v>54.332000000000008</v>
      </c>
      <c r="W29" s="6">
        <v>488.98800000000006</v>
      </c>
      <c r="X29" s="4">
        <v>4</v>
      </c>
      <c r="Y29" s="7">
        <v>492.98800000000006</v>
      </c>
    </row>
    <row r="30" spans="1:25" x14ac:dyDescent="0.25">
      <c r="A30" t="s">
        <v>162</v>
      </c>
      <c r="B30" s="2">
        <v>45401</v>
      </c>
      <c r="C30" s="3">
        <v>2024</v>
      </c>
      <c r="D30" s="3" t="s">
        <v>163</v>
      </c>
      <c r="E30" s="3" t="s">
        <v>164</v>
      </c>
      <c r="F30" s="3" t="s">
        <v>39</v>
      </c>
      <c r="G30" s="3" t="s">
        <v>40</v>
      </c>
      <c r="H30" s="3" t="s">
        <v>54</v>
      </c>
      <c r="I30" s="3" t="s">
        <v>97</v>
      </c>
      <c r="J30" s="3" t="s">
        <v>55</v>
      </c>
      <c r="K30" s="3" t="s">
        <v>142</v>
      </c>
      <c r="L30" s="3" t="s">
        <v>31</v>
      </c>
      <c r="M30" s="3" t="s">
        <v>78</v>
      </c>
      <c r="N30" s="3" t="s">
        <v>33</v>
      </c>
      <c r="O30" s="2">
        <v>45403</v>
      </c>
      <c r="P30" s="4">
        <v>4.79</v>
      </c>
      <c r="Q30" s="4">
        <v>11.97</v>
      </c>
      <c r="R30" s="4">
        <v>7.1800000000000006</v>
      </c>
      <c r="S30" s="3">
        <v>18</v>
      </c>
      <c r="T30" s="4">
        <v>215.46</v>
      </c>
      <c r="U30" s="5">
        <v>0.08</v>
      </c>
      <c r="V30" s="6">
        <v>17.236800000000002</v>
      </c>
      <c r="W30" s="6">
        <v>198.22320000000002</v>
      </c>
      <c r="X30" s="4">
        <v>5.81</v>
      </c>
      <c r="Y30" s="7">
        <v>204.03320000000002</v>
      </c>
    </row>
    <row r="31" spans="1:25" x14ac:dyDescent="0.25">
      <c r="A31" t="s">
        <v>165</v>
      </c>
      <c r="B31" s="2">
        <v>45403</v>
      </c>
      <c r="C31" s="3">
        <v>2024</v>
      </c>
      <c r="D31" s="3" t="s">
        <v>166</v>
      </c>
      <c r="E31" s="3" t="s">
        <v>167</v>
      </c>
      <c r="F31" s="3" t="s">
        <v>39</v>
      </c>
      <c r="G31" s="3" t="s">
        <v>40</v>
      </c>
      <c r="H31" s="3" t="s">
        <v>28</v>
      </c>
      <c r="I31" s="3" t="s">
        <v>97</v>
      </c>
      <c r="J31" s="3" t="s">
        <v>43</v>
      </c>
      <c r="K31" s="3" t="s">
        <v>168</v>
      </c>
      <c r="L31" s="3" t="s">
        <v>46</v>
      </c>
      <c r="M31" s="3" t="s">
        <v>169</v>
      </c>
      <c r="N31" s="3" t="s">
        <v>44</v>
      </c>
      <c r="O31" s="2">
        <v>45404</v>
      </c>
      <c r="P31" s="4">
        <v>8.82</v>
      </c>
      <c r="Q31" s="4">
        <v>20.99</v>
      </c>
      <c r="R31" s="4">
        <v>12.169999999999998</v>
      </c>
      <c r="S31" s="3">
        <v>8</v>
      </c>
      <c r="T31" s="4">
        <v>167.92</v>
      </c>
      <c r="U31" s="5">
        <v>0.09</v>
      </c>
      <c r="V31" s="6">
        <v>15.112799999999998</v>
      </c>
      <c r="W31" s="6">
        <v>152.80719999999999</v>
      </c>
      <c r="X31" s="4">
        <v>4.8099999999999996</v>
      </c>
      <c r="Y31" s="7">
        <v>157.6172</v>
      </c>
    </row>
    <row r="32" spans="1:25" x14ac:dyDescent="0.25">
      <c r="A32" t="s">
        <v>170</v>
      </c>
      <c r="B32" s="2">
        <v>45403</v>
      </c>
      <c r="C32" s="3">
        <v>2024</v>
      </c>
      <c r="D32" s="3" t="s">
        <v>171</v>
      </c>
      <c r="E32" s="3" t="s">
        <v>114</v>
      </c>
      <c r="F32" s="3" t="s">
        <v>26</v>
      </c>
      <c r="G32" s="3" t="s">
        <v>27</v>
      </c>
      <c r="H32" s="3" t="s">
        <v>47</v>
      </c>
      <c r="I32" s="3" t="s">
        <v>36</v>
      </c>
      <c r="J32" s="3" t="s">
        <v>43</v>
      </c>
      <c r="K32" s="3" t="s">
        <v>52</v>
      </c>
      <c r="L32" s="3" t="s">
        <v>31</v>
      </c>
      <c r="M32" s="3" t="s">
        <v>37</v>
      </c>
      <c r="N32" s="3" t="s">
        <v>33</v>
      </c>
      <c r="O32" s="2">
        <v>45405</v>
      </c>
      <c r="P32" s="4">
        <v>1.0900000000000001</v>
      </c>
      <c r="Q32" s="4">
        <v>1.68</v>
      </c>
      <c r="R32" s="4">
        <v>0.58999999999999986</v>
      </c>
      <c r="S32" s="3">
        <v>18</v>
      </c>
      <c r="T32" s="4">
        <v>30.24</v>
      </c>
      <c r="U32" s="5">
        <v>0.06</v>
      </c>
      <c r="V32" s="6">
        <v>1.8143999999999998</v>
      </c>
      <c r="W32" s="6">
        <v>28.425599999999999</v>
      </c>
      <c r="X32" s="4">
        <v>1</v>
      </c>
      <c r="Y32" s="7">
        <v>29.425599999999999</v>
      </c>
    </row>
    <row r="33" spans="1:25" x14ac:dyDescent="0.25">
      <c r="A33" t="s">
        <v>172</v>
      </c>
      <c r="B33" s="2">
        <v>45407</v>
      </c>
      <c r="C33" s="3">
        <v>2024</v>
      </c>
      <c r="D33" s="3" t="s">
        <v>34</v>
      </c>
      <c r="E33" s="3" t="s">
        <v>35</v>
      </c>
      <c r="F33" s="3" t="s">
        <v>26</v>
      </c>
      <c r="G33" s="3" t="s">
        <v>27</v>
      </c>
      <c r="H33" s="3" t="s">
        <v>28</v>
      </c>
      <c r="I33" s="3" t="s">
        <v>36</v>
      </c>
      <c r="J33" s="3" t="s">
        <v>60</v>
      </c>
      <c r="K33" s="3" t="s">
        <v>115</v>
      </c>
      <c r="L33" s="3" t="s">
        <v>31</v>
      </c>
      <c r="M33" s="3" t="s">
        <v>37</v>
      </c>
      <c r="N33" s="3" t="s">
        <v>44</v>
      </c>
      <c r="O33" s="2">
        <v>45409</v>
      </c>
      <c r="P33" s="4">
        <v>2.52</v>
      </c>
      <c r="Q33" s="4">
        <v>4</v>
      </c>
      <c r="R33" s="4">
        <v>1.48</v>
      </c>
      <c r="S33" s="3">
        <v>19</v>
      </c>
      <c r="T33" s="4">
        <v>76</v>
      </c>
      <c r="U33" s="5">
        <v>0.09</v>
      </c>
      <c r="V33" s="6">
        <v>6.84</v>
      </c>
      <c r="W33" s="6">
        <v>69.16</v>
      </c>
      <c r="X33" s="4">
        <v>1.3</v>
      </c>
      <c r="Y33" s="7">
        <v>70.459999999999994</v>
      </c>
    </row>
    <row r="34" spans="1:25" x14ac:dyDescent="0.25">
      <c r="A34" t="s">
        <v>173</v>
      </c>
      <c r="B34" s="2">
        <v>45408</v>
      </c>
      <c r="C34" s="3">
        <v>2024</v>
      </c>
      <c r="D34" s="3" t="s">
        <v>174</v>
      </c>
      <c r="E34" s="3" t="s">
        <v>175</v>
      </c>
      <c r="F34" s="3" t="s">
        <v>26</v>
      </c>
      <c r="G34" s="3" t="s">
        <v>27</v>
      </c>
      <c r="H34" s="3" t="s">
        <v>28</v>
      </c>
      <c r="I34" s="3" t="s">
        <v>36</v>
      </c>
      <c r="J34" s="3" t="s">
        <v>30</v>
      </c>
      <c r="K34" s="3" t="s">
        <v>176</v>
      </c>
      <c r="L34" s="3" t="s">
        <v>31</v>
      </c>
      <c r="M34" s="3" t="s">
        <v>32</v>
      </c>
      <c r="N34" s="3" t="s">
        <v>33</v>
      </c>
      <c r="O34" s="2">
        <v>45409</v>
      </c>
      <c r="P34" s="4">
        <v>13.88</v>
      </c>
      <c r="Q34" s="4">
        <v>22.38</v>
      </c>
      <c r="R34" s="4">
        <v>8.4999999999999982</v>
      </c>
      <c r="S34" s="3">
        <v>26</v>
      </c>
      <c r="T34" s="4">
        <v>581.88</v>
      </c>
      <c r="U34" s="5">
        <v>0.1</v>
      </c>
      <c r="V34" s="6">
        <v>58.188000000000002</v>
      </c>
      <c r="W34" s="6">
        <v>523.69200000000001</v>
      </c>
      <c r="X34" s="4">
        <v>15.1</v>
      </c>
      <c r="Y34" s="7">
        <v>538.79200000000003</v>
      </c>
    </row>
    <row r="35" spans="1:25" x14ac:dyDescent="0.25">
      <c r="A35" t="s">
        <v>177</v>
      </c>
      <c r="B35" s="2">
        <v>45408</v>
      </c>
      <c r="C35" s="3">
        <v>2024</v>
      </c>
      <c r="D35" s="3" t="s">
        <v>178</v>
      </c>
      <c r="E35" s="3" t="s">
        <v>179</v>
      </c>
      <c r="F35" s="3" t="s">
        <v>39</v>
      </c>
      <c r="G35" s="3" t="s">
        <v>40</v>
      </c>
      <c r="H35" s="3" t="s">
        <v>41</v>
      </c>
      <c r="I35" s="3" t="s">
        <v>57</v>
      </c>
      <c r="J35" s="3" t="s">
        <v>55</v>
      </c>
      <c r="K35" s="3" t="s">
        <v>180</v>
      </c>
      <c r="L35" s="3" t="s">
        <v>31</v>
      </c>
      <c r="M35" s="3" t="s">
        <v>37</v>
      </c>
      <c r="N35" s="3" t="s">
        <v>33</v>
      </c>
      <c r="O35" s="2">
        <v>45410</v>
      </c>
      <c r="P35" s="4">
        <v>21.56</v>
      </c>
      <c r="Q35" s="4">
        <v>36.549999999999997</v>
      </c>
      <c r="R35" s="4">
        <v>14.989999999999998</v>
      </c>
      <c r="S35" s="3">
        <v>45</v>
      </c>
      <c r="T35" s="4">
        <v>1644.7499999999998</v>
      </c>
      <c r="U35" s="5">
        <v>0.1</v>
      </c>
      <c r="V35" s="6">
        <v>164.47499999999999</v>
      </c>
      <c r="W35" s="6">
        <v>1480.2749999999999</v>
      </c>
      <c r="X35" s="4">
        <v>13.89</v>
      </c>
      <c r="Y35" s="7">
        <v>1494.165</v>
      </c>
    </row>
    <row r="36" spans="1:25" x14ac:dyDescent="0.25">
      <c r="A36" t="s">
        <v>181</v>
      </c>
      <c r="B36" s="2">
        <v>45409</v>
      </c>
      <c r="C36" s="3">
        <v>2024</v>
      </c>
      <c r="D36" s="3" t="s">
        <v>182</v>
      </c>
      <c r="E36" s="3" t="s">
        <v>183</v>
      </c>
      <c r="F36" s="3" t="s">
        <v>39</v>
      </c>
      <c r="G36" s="3" t="s">
        <v>40</v>
      </c>
      <c r="H36" s="3" t="s">
        <v>47</v>
      </c>
      <c r="I36" s="3" t="s">
        <v>88</v>
      </c>
      <c r="J36" s="3" t="s">
        <v>30</v>
      </c>
      <c r="K36" s="3" t="s">
        <v>184</v>
      </c>
      <c r="L36" s="3" t="s">
        <v>46</v>
      </c>
      <c r="M36" s="3" t="s">
        <v>32</v>
      </c>
      <c r="N36" s="3" t="s">
        <v>44</v>
      </c>
      <c r="O36" s="2">
        <v>45410</v>
      </c>
      <c r="P36" s="4">
        <v>19.78</v>
      </c>
      <c r="Q36" s="4">
        <v>45.99</v>
      </c>
      <c r="R36" s="4">
        <v>26.21</v>
      </c>
      <c r="S36" s="3">
        <v>14</v>
      </c>
      <c r="T36" s="4">
        <v>643.86</v>
      </c>
      <c r="U36" s="5">
        <v>0.02</v>
      </c>
      <c r="V36" s="6">
        <v>12.8772</v>
      </c>
      <c r="W36" s="6">
        <v>630.9828</v>
      </c>
      <c r="X36" s="4">
        <v>4.99</v>
      </c>
      <c r="Y36" s="7">
        <v>635.97280000000001</v>
      </c>
    </row>
    <row r="37" spans="1:25" x14ac:dyDescent="0.25">
      <c r="A37" t="s">
        <v>185</v>
      </c>
      <c r="B37" s="2">
        <v>45413</v>
      </c>
      <c r="C37" s="3">
        <v>2024</v>
      </c>
      <c r="D37" s="3" t="s">
        <v>186</v>
      </c>
      <c r="E37" s="3" t="s">
        <v>187</v>
      </c>
      <c r="F37" s="3" t="s">
        <v>39</v>
      </c>
      <c r="G37" s="3" t="s">
        <v>40</v>
      </c>
      <c r="H37" s="3" t="s">
        <v>28</v>
      </c>
      <c r="I37" s="3" t="s">
        <v>88</v>
      </c>
      <c r="J37" s="3" t="s">
        <v>30</v>
      </c>
      <c r="K37" s="3" t="s">
        <v>188</v>
      </c>
      <c r="L37" s="3" t="s">
        <v>46</v>
      </c>
      <c r="M37" s="3" t="s">
        <v>169</v>
      </c>
      <c r="N37" s="3" t="s">
        <v>33</v>
      </c>
      <c r="O37" s="2">
        <v>45414</v>
      </c>
      <c r="P37" s="4">
        <v>9.91</v>
      </c>
      <c r="Q37" s="4">
        <v>15.99</v>
      </c>
      <c r="R37" s="4">
        <v>6.08</v>
      </c>
      <c r="S37" s="3">
        <v>7</v>
      </c>
      <c r="T37" s="4">
        <v>111.93</v>
      </c>
      <c r="U37" s="5">
        <v>0.03</v>
      </c>
      <c r="V37" s="6">
        <v>3.3578999999999999</v>
      </c>
      <c r="W37" s="6">
        <v>108.57210000000001</v>
      </c>
      <c r="X37" s="4">
        <v>11.28</v>
      </c>
      <c r="Y37" s="7">
        <v>119.85210000000001</v>
      </c>
    </row>
    <row r="38" spans="1:25" x14ac:dyDescent="0.25">
      <c r="A38" t="s">
        <v>189</v>
      </c>
      <c r="B38" s="2">
        <v>45413</v>
      </c>
      <c r="C38" s="3">
        <v>2024</v>
      </c>
      <c r="D38" s="3" t="s">
        <v>144</v>
      </c>
      <c r="E38" s="3" t="s">
        <v>131</v>
      </c>
      <c r="F38" s="3" t="s">
        <v>26</v>
      </c>
      <c r="G38" s="3" t="s">
        <v>27</v>
      </c>
      <c r="H38" s="3" t="s">
        <v>28</v>
      </c>
      <c r="I38" s="3" t="s">
        <v>29</v>
      </c>
      <c r="J38" s="3" t="s">
        <v>55</v>
      </c>
      <c r="K38" s="3" t="s">
        <v>190</v>
      </c>
      <c r="L38" s="3" t="s">
        <v>31</v>
      </c>
      <c r="M38" s="3" t="s">
        <v>37</v>
      </c>
      <c r="N38" s="3" t="s">
        <v>33</v>
      </c>
      <c r="O38" s="2">
        <v>45414</v>
      </c>
      <c r="P38" s="4">
        <v>3.75</v>
      </c>
      <c r="Q38" s="4">
        <v>7.08</v>
      </c>
      <c r="R38" s="4">
        <v>3.33</v>
      </c>
      <c r="S38" s="3">
        <v>29</v>
      </c>
      <c r="T38" s="4">
        <v>205.32</v>
      </c>
      <c r="U38" s="5">
        <v>0.04</v>
      </c>
      <c r="V38" s="6">
        <v>8.2127999999999997</v>
      </c>
      <c r="W38" s="6">
        <v>197.10720000000001</v>
      </c>
      <c r="X38" s="4">
        <v>2.35</v>
      </c>
      <c r="Y38" s="7">
        <v>199.4572</v>
      </c>
    </row>
    <row r="39" spans="1:25" x14ac:dyDescent="0.25">
      <c r="A39" t="s">
        <v>191</v>
      </c>
      <c r="B39" s="2">
        <v>45414</v>
      </c>
      <c r="C39" s="3">
        <v>2024</v>
      </c>
      <c r="D39" s="3" t="s">
        <v>192</v>
      </c>
      <c r="E39" s="3" t="s">
        <v>193</v>
      </c>
      <c r="F39" s="3" t="s">
        <v>39</v>
      </c>
      <c r="G39" s="3" t="s">
        <v>40</v>
      </c>
      <c r="H39" s="3" t="s">
        <v>41</v>
      </c>
      <c r="I39" s="3" t="s">
        <v>64</v>
      </c>
      <c r="J39" s="3" t="s">
        <v>30</v>
      </c>
      <c r="K39" s="3" t="s">
        <v>194</v>
      </c>
      <c r="L39" s="3" t="s">
        <v>195</v>
      </c>
      <c r="M39" s="3" t="s">
        <v>78</v>
      </c>
      <c r="N39" s="3" t="s">
        <v>33</v>
      </c>
      <c r="O39" s="2">
        <v>45415</v>
      </c>
      <c r="P39" s="4">
        <v>5.5</v>
      </c>
      <c r="Q39" s="4">
        <v>12.22</v>
      </c>
      <c r="R39" s="4">
        <v>6.7200000000000006</v>
      </c>
      <c r="S39" s="3">
        <v>35</v>
      </c>
      <c r="T39" s="4">
        <v>427.70000000000005</v>
      </c>
      <c r="U39" s="5">
        <v>0</v>
      </c>
      <c r="V39" s="6">
        <v>0</v>
      </c>
      <c r="W39" s="6">
        <v>427.70000000000005</v>
      </c>
      <c r="X39" s="4">
        <v>2.85</v>
      </c>
      <c r="Y39" s="7">
        <v>430.55000000000007</v>
      </c>
    </row>
    <row r="40" spans="1:25" x14ac:dyDescent="0.25">
      <c r="A40" t="s">
        <v>196</v>
      </c>
      <c r="B40" s="2">
        <v>45414</v>
      </c>
      <c r="C40" s="3">
        <v>2024</v>
      </c>
      <c r="D40" s="3" t="s">
        <v>197</v>
      </c>
      <c r="E40" s="3" t="s">
        <v>92</v>
      </c>
      <c r="F40" s="3" t="s">
        <v>39</v>
      </c>
      <c r="G40" s="3" t="s">
        <v>40</v>
      </c>
      <c r="H40" s="3" t="s">
        <v>54</v>
      </c>
      <c r="I40" s="3" t="s">
        <v>48</v>
      </c>
      <c r="J40" s="3" t="s">
        <v>55</v>
      </c>
      <c r="K40" s="3" t="s">
        <v>198</v>
      </c>
      <c r="L40" s="3" t="s">
        <v>31</v>
      </c>
      <c r="M40" s="3" t="s">
        <v>32</v>
      </c>
      <c r="N40" s="3" t="s">
        <v>33</v>
      </c>
      <c r="O40" s="2">
        <v>45416</v>
      </c>
      <c r="P40" s="4">
        <v>13.64</v>
      </c>
      <c r="Q40" s="4">
        <v>20.98</v>
      </c>
      <c r="R40" s="4">
        <v>7.34</v>
      </c>
      <c r="S40" s="3">
        <v>47</v>
      </c>
      <c r="T40" s="4">
        <v>986.06000000000006</v>
      </c>
      <c r="U40" s="5">
        <v>0.1</v>
      </c>
      <c r="V40" s="6">
        <v>98.606000000000009</v>
      </c>
      <c r="W40" s="6">
        <v>887.45400000000006</v>
      </c>
      <c r="X40" s="4">
        <v>1.49</v>
      </c>
      <c r="Y40" s="7">
        <v>888.94400000000007</v>
      </c>
    </row>
    <row r="41" spans="1:25" x14ac:dyDescent="0.25">
      <c r="A41" t="s">
        <v>199</v>
      </c>
      <c r="B41" s="2">
        <v>45415</v>
      </c>
      <c r="C41" s="3">
        <v>2024</v>
      </c>
      <c r="D41" s="3" t="s">
        <v>161</v>
      </c>
      <c r="E41" s="3" t="s">
        <v>25</v>
      </c>
      <c r="F41" s="3" t="s">
        <v>26</v>
      </c>
      <c r="G41" s="3" t="s">
        <v>27</v>
      </c>
      <c r="H41" s="3" t="s">
        <v>47</v>
      </c>
      <c r="I41" s="3" t="s">
        <v>29</v>
      </c>
      <c r="J41" s="3" t="s">
        <v>30</v>
      </c>
      <c r="K41" s="3" t="s">
        <v>77</v>
      </c>
      <c r="L41" s="3" t="s">
        <v>31</v>
      </c>
      <c r="M41" s="3" t="s">
        <v>78</v>
      </c>
      <c r="N41" s="3" t="s">
        <v>33</v>
      </c>
      <c r="O41" s="2">
        <v>45415</v>
      </c>
      <c r="P41" s="4">
        <v>3.42</v>
      </c>
      <c r="Q41" s="4">
        <v>8.34</v>
      </c>
      <c r="R41" s="4">
        <v>4.92</v>
      </c>
      <c r="S41" s="3">
        <v>24</v>
      </c>
      <c r="T41" s="4">
        <v>200.16</v>
      </c>
      <c r="U41" s="5">
        <v>0.1</v>
      </c>
      <c r="V41" s="6">
        <v>20.016000000000002</v>
      </c>
      <c r="W41" s="6">
        <v>180.14400000000001</v>
      </c>
      <c r="X41" s="4">
        <v>2.64</v>
      </c>
      <c r="Y41" s="7">
        <v>182.78399999999999</v>
      </c>
    </row>
    <row r="42" spans="1:25" x14ac:dyDescent="0.25">
      <c r="A42" t="s">
        <v>200</v>
      </c>
      <c r="B42" s="2">
        <v>45416</v>
      </c>
      <c r="C42" s="3">
        <v>2024</v>
      </c>
      <c r="D42" s="3" t="s">
        <v>201</v>
      </c>
      <c r="E42" s="3" t="s">
        <v>202</v>
      </c>
      <c r="F42" s="3" t="s">
        <v>203</v>
      </c>
      <c r="G42" s="3" t="s">
        <v>204</v>
      </c>
      <c r="H42" s="3" t="s">
        <v>54</v>
      </c>
      <c r="I42" s="3" t="s">
        <v>88</v>
      </c>
      <c r="J42" s="3" t="s">
        <v>43</v>
      </c>
      <c r="K42" s="3" t="s">
        <v>84</v>
      </c>
      <c r="L42" s="3" t="s">
        <v>31</v>
      </c>
      <c r="M42" s="3" t="s">
        <v>32</v>
      </c>
      <c r="N42" s="3" t="s">
        <v>44</v>
      </c>
      <c r="O42" s="2">
        <v>45417</v>
      </c>
      <c r="P42" s="4">
        <v>4.59</v>
      </c>
      <c r="Q42" s="4">
        <v>7.28</v>
      </c>
      <c r="R42" s="4">
        <v>2.6900000000000004</v>
      </c>
      <c r="S42" s="3">
        <v>2</v>
      </c>
      <c r="T42" s="4">
        <v>14.56</v>
      </c>
      <c r="U42" s="5">
        <v>0.08</v>
      </c>
      <c r="V42" s="6">
        <v>1.1648000000000001</v>
      </c>
      <c r="W42" s="6">
        <v>13.395200000000001</v>
      </c>
      <c r="X42" s="4">
        <v>11.15</v>
      </c>
      <c r="Y42" s="7">
        <v>24.545200000000001</v>
      </c>
    </row>
    <row r="43" spans="1:25" x14ac:dyDescent="0.25">
      <c r="A43" t="s">
        <v>205</v>
      </c>
      <c r="B43" s="2">
        <v>45416</v>
      </c>
      <c r="C43" s="3">
        <v>2024</v>
      </c>
      <c r="D43" s="3" t="s">
        <v>206</v>
      </c>
      <c r="E43" s="3" t="s">
        <v>207</v>
      </c>
      <c r="F43" s="3" t="s">
        <v>26</v>
      </c>
      <c r="G43" s="3" t="s">
        <v>27</v>
      </c>
      <c r="H43" s="3" t="s">
        <v>41</v>
      </c>
      <c r="I43" s="3" t="s">
        <v>29</v>
      </c>
      <c r="J43" s="3" t="s">
        <v>43</v>
      </c>
      <c r="K43" s="3" t="s">
        <v>208</v>
      </c>
      <c r="L43" s="3" t="s">
        <v>31</v>
      </c>
      <c r="M43" s="3" t="s">
        <v>32</v>
      </c>
      <c r="N43" s="3" t="s">
        <v>33</v>
      </c>
      <c r="O43" s="2">
        <v>45418</v>
      </c>
      <c r="P43" s="4">
        <v>1.18</v>
      </c>
      <c r="Q43" s="4">
        <v>1.88</v>
      </c>
      <c r="R43" s="4">
        <v>0.7</v>
      </c>
      <c r="S43" s="3">
        <v>1</v>
      </c>
      <c r="T43" s="4">
        <v>1.88</v>
      </c>
      <c r="U43" s="5">
        <v>0.05</v>
      </c>
      <c r="V43" s="6">
        <v>9.4E-2</v>
      </c>
      <c r="W43" s="6">
        <v>1.7859999999999998</v>
      </c>
      <c r="X43" s="4">
        <v>1.49</v>
      </c>
      <c r="Y43" s="7">
        <v>3.2759999999999998</v>
      </c>
    </row>
    <row r="44" spans="1:25" x14ac:dyDescent="0.25">
      <c r="A44" t="s">
        <v>209</v>
      </c>
      <c r="B44" s="2">
        <v>45417</v>
      </c>
      <c r="C44" s="3">
        <v>2024</v>
      </c>
      <c r="D44" s="3" t="s">
        <v>210</v>
      </c>
      <c r="E44" s="3" t="s">
        <v>211</v>
      </c>
      <c r="F44" s="3" t="s">
        <v>39</v>
      </c>
      <c r="G44" s="3" t="s">
        <v>40</v>
      </c>
      <c r="H44" s="3" t="s">
        <v>28</v>
      </c>
      <c r="I44" s="3" t="s">
        <v>88</v>
      </c>
      <c r="J44" s="3" t="s">
        <v>60</v>
      </c>
      <c r="K44" s="3" t="s">
        <v>212</v>
      </c>
      <c r="L44" s="3" t="s">
        <v>46</v>
      </c>
      <c r="M44" s="3" t="s">
        <v>32</v>
      </c>
      <c r="N44" s="3" t="s">
        <v>44</v>
      </c>
      <c r="O44" s="2">
        <v>45419</v>
      </c>
      <c r="P44" s="4">
        <v>6.4</v>
      </c>
      <c r="Q44" s="4">
        <v>29.1</v>
      </c>
      <c r="R44" s="4">
        <v>22.700000000000003</v>
      </c>
      <c r="S44" s="3">
        <v>33</v>
      </c>
      <c r="T44" s="4">
        <v>960.30000000000007</v>
      </c>
      <c r="U44" s="5">
        <v>0.01</v>
      </c>
      <c r="V44" s="6">
        <v>9.6030000000000015</v>
      </c>
      <c r="W44" s="6">
        <v>950.69700000000012</v>
      </c>
      <c r="X44" s="4">
        <v>4</v>
      </c>
      <c r="Y44" s="7">
        <v>954.69700000000012</v>
      </c>
    </row>
    <row r="45" spans="1:25" x14ac:dyDescent="0.25">
      <c r="A45" t="s">
        <v>213</v>
      </c>
      <c r="B45" s="2">
        <v>45420</v>
      </c>
      <c r="C45" s="3">
        <v>2024</v>
      </c>
      <c r="D45" s="3" t="s">
        <v>214</v>
      </c>
      <c r="E45" s="3" t="s">
        <v>96</v>
      </c>
      <c r="F45" s="3" t="s">
        <v>39</v>
      </c>
      <c r="G45" s="3" t="s">
        <v>40</v>
      </c>
      <c r="H45" s="3" t="s">
        <v>54</v>
      </c>
      <c r="I45" s="3" t="s">
        <v>97</v>
      </c>
      <c r="J45" s="3" t="s">
        <v>43</v>
      </c>
      <c r="K45" s="3" t="s">
        <v>215</v>
      </c>
      <c r="L45" s="3" t="s">
        <v>31</v>
      </c>
      <c r="M45" s="3" t="s">
        <v>32</v>
      </c>
      <c r="N45" s="3" t="s">
        <v>33</v>
      </c>
      <c r="O45" s="2">
        <v>45420</v>
      </c>
      <c r="P45" s="4">
        <v>3.84</v>
      </c>
      <c r="Q45" s="4">
        <v>6.3</v>
      </c>
      <c r="R45" s="4">
        <v>2.46</v>
      </c>
      <c r="S45" s="3">
        <v>42</v>
      </c>
      <c r="T45" s="4">
        <v>264.59999999999997</v>
      </c>
      <c r="U45" s="5">
        <v>7.0000000000000007E-2</v>
      </c>
      <c r="V45" s="6">
        <v>18.521999999999998</v>
      </c>
      <c r="W45" s="6">
        <v>246.07799999999997</v>
      </c>
      <c r="X45" s="4">
        <v>0.5</v>
      </c>
      <c r="Y45" s="7">
        <v>246.57799999999997</v>
      </c>
    </row>
    <row r="46" spans="1:25" x14ac:dyDescent="0.25">
      <c r="A46" t="s">
        <v>216</v>
      </c>
      <c r="B46" s="2">
        <v>45421</v>
      </c>
      <c r="C46" s="3">
        <v>2024</v>
      </c>
      <c r="D46" s="3" t="s">
        <v>217</v>
      </c>
      <c r="E46" s="3" t="s">
        <v>218</v>
      </c>
      <c r="F46" s="3" t="s">
        <v>39</v>
      </c>
      <c r="G46" s="3" t="s">
        <v>40</v>
      </c>
      <c r="H46" s="3" t="s">
        <v>28</v>
      </c>
      <c r="I46" s="3" t="s">
        <v>88</v>
      </c>
      <c r="J46" s="3" t="s">
        <v>60</v>
      </c>
      <c r="K46" s="3" t="s">
        <v>219</v>
      </c>
      <c r="L46" s="3" t="s">
        <v>46</v>
      </c>
      <c r="M46" s="3" t="s">
        <v>32</v>
      </c>
      <c r="N46" s="3" t="s">
        <v>33</v>
      </c>
      <c r="O46" s="2">
        <v>45422</v>
      </c>
      <c r="P46" s="4">
        <v>156.5</v>
      </c>
      <c r="Q46" s="4">
        <v>300.97000000000003</v>
      </c>
      <c r="R46" s="4">
        <v>144.47000000000003</v>
      </c>
      <c r="S46" s="3">
        <v>14</v>
      </c>
      <c r="T46" s="4">
        <v>4213.58</v>
      </c>
      <c r="U46" s="5">
        <v>0.1</v>
      </c>
      <c r="V46" s="6">
        <v>421.358</v>
      </c>
      <c r="W46" s="6">
        <v>3792.2219999999998</v>
      </c>
      <c r="X46" s="4">
        <v>7.18</v>
      </c>
      <c r="Y46" s="7">
        <v>3799.4019999999996</v>
      </c>
    </row>
    <row r="47" spans="1:25" x14ac:dyDescent="0.25">
      <c r="A47" t="s">
        <v>220</v>
      </c>
      <c r="B47" s="2">
        <v>45422</v>
      </c>
      <c r="C47" s="3">
        <v>2024</v>
      </c>
      <c r="D47" s="3" t="s">
        <v>221</v>
      </c>
      <c r="E47" s="3" t="s">
        <v>222</v>
      </c>
      <c r="F47" s="3" t="s">
        <v>39</v>
      </c>
      <c r="G47" s="3" t="s">
        <v>40</v>
      </c>
      <c r="H47" s="3" t="s">
        <v>41</v>
      </c>
      <c r="I47" s="3" t="s">
        <v>97</v>
      </c>
      <c r="J47" s="3" t="s">
        <v>49</v>
      </c>
      <c r="K47" s="3" t="s">
        <v>223</v>
      </c>
      <c r="L47" s="3" t="s">
        <v>31</v>
      </c>
      <c r="M47" s="3" t="s">
        <v>37</v>
      </c>
      <c r="N47" s="3" t="s">
        <v>33</v>
      </c>
      <c r="O47" s="2">
        <v>45426</v>
      </c>
      <c r="P47" s="4">
        <v>2.29</v>
      </c>
      <c r="Q47" s="4">
        <v>3.58</v>
      </c>
      <c r="R47" s="4">
        <v>1.29</v>
      </c>
      <c r="S47" s="3">
        <v>38</v>
      </c>
      <c r="T47" s="4">
        <v>136.04</v>
      </c>
      <c r="U47" s="5">
        <v>0.06</v>
      </c>
      <c r="V47" s="6">
        <v>8.1623999999999999</v>
      </c>
      <c r="W47" s="6">
        <v>127.87759999999999</v>
      </c>
      <c r="X47" s="4">
        <v>1.63</v>
      </c>
      <c r="Y47" s="7">
        <v>129.5076</v>
      </c>
    </row>
    <row r="48" spans="1:25" x14ac:dyDescent="0.25">
      <c r="A48" t="s">
        <v>224</v>
      </c>
      <c r="B48" s="2">
        <v>45423</v>
      </c>
      <c r="C48" s="3">
        <v>2024</v>
      </c>
      <c r="D48" s="3" t="s">
        <v>225</v>
      </c>
      <c r="E48" s="3" t="s">
        <v>226</v>
      </c>
      <c r="F48" s="3" t="s">
        <v>203</v>
      </c>
      <c r="G48" s="3" t="s">
        <v>204</v>
      </c>
      <c r="H48" s="3" t="s">
        <v>28</v>
      </c>
      <c r="I48" s="3" t="s">
        <v>136</v>
      </c>
      <c r="J48" s="3" t="s">
        <v>30</v>
      </c>
      <c r="K48" s="3" t="s">
        <v>227</v>
      </c>
      <c r="L48" s="3" t="s">
        <v>31</v>
      </c>
      <c r="M48" s="3" t="s">
        <v>32</v>
      </c>
      <c r="N48" s="3" t="s">
        <v>44</v>
      </c>
      <c r="O48" s="2">
        <v>45423</v>
      </c>
      <c r="P48" s="4">
        <v>2.25</v>
      </c>
      <c r="Q48" s="4">
        <v>3.69</v>
      </c>
      <c r="R48" s="4">
        <v>1.44</v>
      </c>
      <c r="S48" s="3">
        <v>35</v>
      </c>
      <c r="T48" s="4">
        <v>129.15</v>
      </c>
      <c r="U48" s="5">
        <v>0.03</v>
      </c>
      <c r="V48" s="6">
        <v>3.8744999999999998</v>
      </c>
      <c r="W48" s="6">
        <v>125.27550000000001</v>
      </c>
      <c r="X48" s="4">
        <v>2.5</v>
      </c>
      <c r="Y48" s="7">
        <v>127.77550000000001</v>
      </c>
    </row>
    <row r="49" spans="1:25" x14ac:dyDescent="0.25">
      <c r="A49" t="s">
        <v>228</v>
      </c>
      <c r="B49" s="2">
        <v>45423</v>
      </c>
      <c r="C49" s="3">
        <v>2024</v>
      </c>
      <c r="D49" s="3" t="s">
        <v>229</v>
      </c>
      <c r="E49" s="3" t="s">
        <v>75</v>
      </c>
      <c r="F49" s="3" t="s">
        <v>203</v>
      </c>
      <c r="G49" s="3" t="s">
        <v>204</v>
      </c>
      <c r="H49" s="3" t="s">
        <v>54</v>
      </c>
      <c r="I49" s="3" t="s">
        <v>136</v>
      </c>
      <c r="J49" s="3" t="s">
        <v>60</v>
      </c>
      <c r="K49" s="3" t="s">
        <v>230</v>
      </c>
      <c r="L49" s="3" t="s">
        <v>31</v>
      </c>
      <c r="M49" s="3" t="s">
        <v>32</v>
      </c>
      <c r="N49" s="3" t="s">
        <v>44</v>
      </c>
      <c r="O49" s="2">
        <v>45423</v>
      </c>
      <c r="P49" s="4">
        <v>12.39</v>
      </c>
      <c r="Q49" s="4">
        <v>19.98</v>
      </c>
      <c r="R49" s="4">
        <v>7.59</v>
      </c>
      <c r="S49" s="3">
        <v>13</v>
      </c>
      <c r="T49" s="4">
        <v>259.74</v>
      </c>
      <c r="U49" s="5">
        <v>0.1</v>
      </c>
      <c r="V49" s="6">
        <v>25.974000000000004</v>
      </c>
      <c r="W49" s="6">
        <v>233.76600000000002</v>
      </c>
      <c r="X49" s="4">
        <v>5.77</v>
      </c>
      <c r="Y49" s="7">
        <v>239.53600000000003</v>
      </c>
    </row>
    <row r="50" spans="1:25" x14ac:dyDescent="0.25">
      <c r="A50" t="s">
        <v>231</v>
      </c>
      <c r="B50" s="2">
        <v>45425</v>
      </c>
      <c r="C50" s="3">
        <v>2024</v>
      </c>
      <c r="D50" s="3" t="s">
        <v>232</v>
      </c>
      <c r="E50" s="3" t="s">
        <v>233</v>
      </c>
      <c r="F50" s="3" t="s">
        <v>39</v>
      </c>
      <c r="G50" s="3" t="s">
        <v>40</v>
      </c>
      <c r="H50" s="3" t="s">
        <v>41</v>
      </c>
      <c r="I50" s="3" t="s">
        <v>48</v>
      </c>
      <c r="J50" s="3" t="s">
        <v>60</v>
      </c>
      <c r="K50" s="3" t="s">
        <v>234</v>
      </c>
      <c r="L50" s="3" t="s">
        <v>31</v>
      </c>
      <c r="M50" s="3" t="s">
        <v>32</v>
      </c>
      <c r="N50" s="3" t="s">
        <v>33</v>
      </c>
      <c r="O50" s="2">
        <v>45425</v>
      </c>
      <c r="P50" s="4">
        <v>8.92</v>
      </c>
      <c r="Q50" s="4">
        <v>29.74</v>
      </c>
      <c r="R50" s="4">
        <v>20.82</v>
      </c>
      <c r="S50" s="3">
        <v>14</v>
      </c>
      <c r="T50" s="4">
        <v>416.35999999999996</v>
      </c>
      <c r="U50" s="5">
        <v>0.02</v>
      </c>
      <c r="V50" s="6">
        <v>8.3271999999999995</v>
      </c>
      <c r="W50" s="6">
        <v>408.03279999999995</v>
      </c>
      <c r="X50" s="4">
        <v>6.64</v>
      </c>
      <c r="Y50" s="7">
        <v>414.67279999999994</v>
      </c>
    </row>
    <row r="51" spans="1:25" x14ac:dyDescent="0.25">
      <c r="A51" t="s">
        <v>235</v>
      </c>
      <c r="B51" s="2">
        <v>45425</v>
      </c>
      <c r="C51" s="3">
        <v>2024</v>
      </c>
      <c r="D51" s="3" t="s">
        <v>236</v>
      </c>
      <c r="E51" s="3" t="s">
        <v>87</v>
      </c>
      <c r="F51" s="3" t="s">
        <v>39</v>
      </c>
      <c r="G51" s="3" t="s">
        <v>40</v>
      </c>
      <c r="H51" s="3" t="s">
        <v>54</v>
      </c>
      <c r="I51" s="3" t="s">
        <v>88</v>
      </c>
      <c r="J51" s="3" t="s">
        <v>55</v>
      </c>
      <c r="K51" s="3" t="s">
        <v>237</v>
      </c>
      <c r="L51" s="3" t="s">
        <v>46</v>
      </c>
      <c r="M51" s="3" t="s">
        <v>32</v>
      </c>
      <c r="N51" s="3" t="s">
        <v>33</v>
      </c>
      <c r="O51" s="2">
        <v>45427</v>
      </c>
      <c r="P51" s="4">
        <v>60.59</v>
      </c>
      <c r="Q51" s="4">
        <v>100.98</v>
      </c>
      <c r="R51" s="4">
        <v>40.39</v>
      </c>
      <c r="S51" s="3">
        <v>33</v>
      </c>
      <c r="T51" s="4">
        <v>3332.34</v>
      </c>
      <c r="U51" s="5">
        <v>0.05</v>
      </c>
      <c r="V51" s="6">
        <v>166.61700000000002</v>
      </c>
      <c r="W51" s="6">
        <v>3165.723</v>
      </c>
      <c r="X51" s="4">
        <v>7.18</v>
      </c>
      <c r="Y51" s="7">
        <v>3172.9029999999998</v>
      </c>
    </row>
    <row r="52" spans="1:25" x14ac:dyDescent="0.25">
      <c r="A52" t="s">
        <v>238</v>
      </c>
      <c r="B52" s="2">
        <v>45425</v>
      </c>
      <c r="C52" s="3">
        <v>2024</v>
      </c>
      <c r="D52" s="3" t="s">
        <v>239</v>
      </c>
      <c r="E52" s="3" t="s">
        <v>25</v>
      </c>
      <c r="F52" s="3" t="s">
        <v>26</v>
      </c>
      <c r="G52" s="3" t="s">
        <v>27</v>
      </c>
      <c r="H52" s="3" t="s">
        <v>47</v>
      </c>
      <c r="I52" s="3" t="s">
        <v>29</v>
      </c>
      <c r="J52" s="3" t="s">
        <v>49</v>
      </c>
      <c r="K52" s="3" t="s">
        <v>240</v>
      </c>
      <c r="L52" s="3" t="s">
        <v>31</v>
      </c>
      <c r="M52" s="3" t="s">
        <v>37</v>
      </c>
      <c r="N52" s="3" t="s">
        <v>33</v>
      </c>
      <c r="O52" s="2">
        <v>45429</v>
      </c>
      <c r="P52" s="4">
        <v>3.48</v>
      </c>
      <c r="Q52" s="4">
        <v>5.43</v>
      </c>
      <c r="R52" s="4">
        <v>1.9499999999999997</v>
      </c>
      <c r="S52" s="3">
        <v>29</v>
      </c>
      <c r="T52" s="4">
        <v>157.47</v>
      </c>
      <c r="U52" s="5">
        <v>7.0000000000000007E-2</v>
      </c>
      <c r="V52" s="6">
        <v>11.022900000000002</v>
      </c>
      <c r="W52" s="6">
        <v>146.44710000000001</v>
      </c>
      <c r="X52" s="4">
        <v>0.95</v>
      </c>
      <c r="Y52" s="7">
        <v>147.39709999999999</v>
      </c>
    </row>
    <row r="53" spans="1:25" x14ac:dyDescent="0.25">
      <c r="A53" t="s">
        <v>241</v>
      </c>
      <c r="B53" s="2">
        <v>45427</v>
      </c>
      <c r="C53" s="3">
        <v>2024</v>
      </c>
      <c r="D53" s="3" t="s">
        <v>242</v>
      </c>
      <c r="E53" s="3" t="s">
        <v>107</v>
      </c>
      <c r="F53" s="3" t="s">
        <v>39</v>
      </c>
      <c r="G53" s="3" t="s">
        <v>40</v>
      </c>
      <c r="H53" s="3" t="s">
        <v>54</v>
      </c>
      <c r="I53" s="3" t="s">
        <v>48</v>
      </c>
      <c r="J53" s="3" t="s">
        <v>49</v>
      </c>
      <c r="K53" s="3" t="s">
        <v>243</v>
      </c>
      <c r="L53" s="3" t="s">
        <v>46</v>
      </c>
      <c r="M53" s="3" t="s">
        <v>78</v>
      </c>
      <c r="N53" s="3" t="s">
        <v>33</v>
      </c>
      <c r="O53" s="2">
        <v>45429</v>
      </c>
      <c r="P53" s="4">
        <v>20.18</v>
      </c>
      <c r="Q53" s="4">
        <v>35.409999999999997</v>
      </c>
      <c r="R53" s="4">
        <v>15.229999999999997</v>
      </c>
      <c r="S53" s="3">
        <v>38</v>
      </c>
      <c r="T53" s="4">
        <v>1345.58</v>
      </c>
      <c r="U53" s="5">
        <v>0.03</v>
      </c>
      <c r="V53" s="6">
        <v>40.367399999999996</v>
      </c>
      <c r="W53" s="6">
        <v>1305.2125999999998</v>
      </c>
      <c r="X53" s="4">
        <v>1.99</v>
      </c>
      <c r="Y53" s="7">
        <v>1307.2025999999998</v>
      </c>
    </row>
    <row r="54" spans="1:25" x14ac:dyDescent="0.25">
      <c r="A54" t="s">
        <v>244</v>
      </c>
      <c r="B54" s="2">
        <v>45429</v>
      </c>
      <c r="C54" s="3">
        <v>2024</v>
      </c>
      <c r="D54" s="3" t="s">
        <v>245</v>
      </c>
      <c r="E54" s="3" t="s">
        <v>246</v>
      </c>
      <c r="F54" s="3" t="s">
        <v>39</v>
      </c>
      <c r="G54" s="3" t="s">
        <v>40</v>
      </c>
      <c r="H54" s="3" t="s">
        <v>54</v>
      </c>
      <c r="I54" s="3" t="s">
        <v>247</v>
      </c>
      <c r="J54" s="3" t="s">
        <v>55</v>
      </c>
      <c r="K54" s="3" t="s">
        <v>248</v>
      </c>
      <c r="L54" s="3" t="s">
        <v>31</v>
      </c>
      <c r="M54" s="3" t="s">
        <v>37</v>
      </c>
      <c r="N54" s="3" t="s">
        <v>33</v>
      </c>
      <c r="O54" s="2">
        <v>45431</v>
      </c>
      <c r="P54" s="4">
        <v>1.76</v>
      </c>
      <c r="Q54" s="4">
        <v>3.38</v>
      </c>
      <c r="R54" s="4">
        <v>1.6199999999999999</v>
      </c>
      <c r="S54" s="3">
        <v>34</v>
      </c>
      <c r="T54" s="4">
        <v>114.92</v>
      </c>
      <c r="U54" s="5">
        <v>7.0000000000000007E-2</v>
      </c>
      <c r="V54" s="6">
        <v>8.0444000000000013</v>
      </c>
      <c r="W54" s="6">
        <v>106.87560000000001</v>
      </c>
      <c r="X54" s="4">
        <v>0.85</v>
      </c>
      <c r="Y54" s="7">
        <v>107.7256</v>
      </c>
    </row>
    <row r="55" spans="1:25" x14ac:dyDescent="0.25">
      <c r="A55" t="s">
        <v>249</v>
      </c>
      <c r="B55" s="2">
        <v>45430</v>
      </c>
      <c r="C55" s="3">
        <v>2024</v>
      </c>
      <c r="D55" s="3" t="s">
        <v>250</v>
      </c>
      <c r="E55" s="3" t="s">
        <v>157</v>
      </c>
      <c r="F55" s="3" t="s">
        <v>39</v>
      </c>
      <c r="G55" s="3" t="s">
        <v>40</v>
      </c>
      <c r="H55" s="3" t="s">
        <v>28</v>
      </c>
      <c r="I55" s="3" t="s">
        <v>88</v>
      </c>
      <c r="J55" s="3" t="s">
        <v>43</v>
      </c>
      <c r="K55" s="3" t="s">
        <v>68</v>
      </c>
      <c r="L55" s="3" t="s">
        <v>31</v>
      </c>
      <c r="M55" s="3" t="s">
        <v>32</v>
      </c>
      <c r="N55" s="3" t="s">
        <v>44</v>
      </c>
      <c r="O55" s="2">
        <v>45432</v>
      </c>
      <c r="P55" s="4">
        <v>36.020000000000003</v>
      </c>
      <c r="Q55" s="4">
        <v>58.1</v>
      </c>
      <c r="R55" s="4">
        <v>22.08</v>
      </c>
      <c r="S55" s="3">
        <v>10</v>
      </c>
      <c r="T55" s="4">
        <v>581</v>
      </c>
      <c r="U55" s="5">
        <v>0.09</v>
      </c>
      <c r="V55" s="6">
        <v>52.29</v>
      </c>
      <c r="W55" s="6">
        <v>528.71</v>
      </c>
      <c r="X55" s="4">
        <v>1.49</v>
      </c>
      <c r="Y55" s="7">
        <v>530.20000000000005</v>
      </c>
    </row>
    <row r="56" spans="1:25" x14ac:dyDescent="0.25">
      <c r="A56" t="s">
        <v>251</v>
      </c>
      <c r="B56" s="2">
        <v>45430</v>
      </c>
      <c r="C56" s="3">
        <v>2024</v>
      </c>
      <c r="D56" s="3" t="s">
        <v>252</v>
      </c>
      <c r="E56" s="3" t="s">
        <v>101</v>
      </c>
      <c r="F56" s="3" t="s">
        <v>39</v>
      </c>
      <c r="G56" s="3" t="s">
        <v>40</v>
      </c>
      <c r="H56" s="3" t="s">
        <v>41</v>
      </c>
      <c r="I56" s="3" t="s">
        <v>64</v>
      </c>
      <c r="J56" s="3" t="s">
        <v>49</v>
      </c>
      <c r="K56" s="3" t="s">
        <v>219</v>
      </c>
      <c r="L56" s="3" t="s">
        <v>46</v>
      </c>
      <c r="M56" s="3" t="s">
        <v>32</v>
      </c>
      <c r="N56" s="3" t="s">
        <v>33</v>
      </c>
      <c r="O56" s="2">
        <v>45430</v>
      </c>
      <c r="P56" s="4">
        <v>156.5</v>
      </c>
      <c r="Q56" s="4">
        <v>300.97000000000003</v>
      </c>
      <c r="R56" s="4">
        <v>144.47000000000003</v>
      </c>
      <c r="S56" s="3">
        <v>38</v>
      </c>
      <c r="T56" s="4">
        <v>11436.86</v>
      </c>
      <c r="U56" s="5">
        <v>0.09</v>
      </c>
      <c r="V56" s="6">
        <v>1029.3173999999999</v>
      </c>
      <c r="W56" s="6">
        <v>10407.542600000001</v>
      </c>
      <c r="X56" s="4">
        <v>7.18</v>
      </c>
      <c r="Y56" s="7">
        <v>10414.722600000001</v>
      </c>
    </row>
    <row r="57" spans="1:25" x14ac:dyDescent="0.25">
      <c r="A57" t="s">
        <v>253</v>
      </c>
      <c r="B57" s="2">
        <v>45431</v>
      </c>
      <c r="C57" s="3">
        <v>2024</v>
      </c>
      <c r="D57" s="3" t="s">
        <v>254</v>
      </c>
      <c r="E57" s="3" t="s">
        <v>255</v>
      </c>
      <c r="F57" s="3" t="s">
        <v>39</v>
      </c>
      <c r="G57" s="3" t="s">
        <v>40</v>
      </c>
      <c r="H57" s="3" t="s">
        <v>54</v>
      </c>
      <c r="I57" s="3" t="s">
        <v>48</v>
      </c>
      <c r="J57" s="3" t="s">
        <v>60</v>
      </c>
      <c r="K57" s="3" t="s">
        <v>77</v>
      </c>
      <c r="L57" s="3" t="s">
        <v>31</v>
      </c>
      <c r="M57" s="3" t="s">
        <v>78</v>
      </c>
      <c r="N57" s="3" t="s">
        <v>33</v>
      </c>
      <c r="O57" s="2">
        <v>45433</v>
      </c>
      <c r="P57" s="4">
        <v>3.42</v>
      </c>
      <c r="Q57" s="4">
        <v>8.34</v>
      </c>
      <c r="R57" s="4">
        <v>4.92</v>
      </c>
      <c r="S57" s="3">
        <v>30</v>
      </c>
      <c r="T57" s="4">
        <v>250.2</v>
      </c>
      <c r="U57" s="5">
        <v>0.02</v>
      </c>
      <c r="V57" s="6">
        <v>5.0039999999999996</v>
      </c>
      <c r="W57" s="6">
        <v>245.196</v>
      </c>
      <c r="X57" s="4">
        <v>2.64</v>
      </c>
      <c r="Y57" s="7">
        <v>247.83599999999998</v>
      </c>
    </row>
    <row r="58" spans="1:25" x14ac:dyDescent="0.25">
      <c r="A58" t="s">
        <v>256</v>
      </c>
      <c r="B58" s="2">
        <v>45432</v>
      </c>
      <c r="C58" s="3">
        <v>2024</v>
      </c>
      <c r="D58" s="3" t="s">
        <v>257</v>
      </c>
      <c r="E58" s="3" t="s">
        <v>258</v>
      </c>
      <c r="F58" s="3" t="s">
        <v>39</v>
      </c>
      <c r="G58" s="3" t="s">
        <v>40</v>
      </c>
      <c r="H58" s="3" t="s">
        <v>41</v>
      </c>
      <c r="I58" s="3" t="s">
        <v>259</v>
      </c>
      <c r="J58" s="3" t="s">
        <v>55</v>
      </c>
      <c r="K58" s="3" t="s">
        <v>237</v>
      </c>
      <c r="L58" s="3" t="s">
        <v>46</v>
      </c>
      <c r="M58" s="3" t="s">
        <v>32</v>
      </c>
      <c r="N58" s="3" t="s">
        <v>33</v>
      </c>
      <c r="O58" s="2">
        <v>45433</v>
      </c>
      <c r="P58" s="4">
        <v>60.59</v>
      </c>
      <c r="Q58" s="4">
        <v>100.98</v>
      </c>
      <c r="R58" s="4">
        <v>40.39</v>
      </c>
      <c r="S58" s="3">
        <v>29</v>
      </c>
      <c r="T58" s="4">
        <v>2928.42</v>
      </c>
      <c r="U58" s="5">
        <v>0.03</v>
      </c>
      <c r="V58" s="6">
        <v>87.852599999999995</v>
      </c>
      <c r="W58" s="6">
        <v>2840.5673999999999</v>
      </c>
      <c r="X58" s="4">
        <v>7.18</v>
      </c>
      <c r="Y58" s="7">
        <v>2847.7473999999997</v>
      </c>
    </row>
    <row r="59" spans="1:25" x14ac:dyDescent="0.25">
      <c r="A59" t="s">
        <v>260</v>
      </c>
      <c r="B59" s="2">
        <v>45434</v>
      </c>
      <c r="C59" s="3">
        <v>2024</v>
      </c>
      <c r="D59" s="3" t="s">
        <v>261</v>
      </c>
      <c r="E59" s="3" t="s">
        <v>262</v>
      </c>
      <c r="F59" s="3" t="s">
        <v>39</v>
      </c>
      <c r="G59" s="3" t="s">
        <v>40</v>
      </c>
      <c r="H59" s="3" t="s">
        <v>41</v>
      </c>
      <c r="I59" s="3" t="s">
        <v>136</v>
      </c>
      <c r="J59" s="3" t="s">
        <v>55</v>
      </c>
      <c r="K59" s="3" t="s">
        <v>263</v>
      </c>
      <c r="L59" s="3" t="s">
        <v>31</v>
      </c>
      <c r="M59" s="3" t="s">
        <v>32</v>
      </c>
      <c r="N59" s="3" t="s">
        <v>33</v>
      </c>
      <c r="O59" s="2">
        <v>45434</v>
      </c>
      <c r="P59" s="4">
        <v>178.83</v>
      </c>
      <c r="Q59" s="4">
        <v>415.88</v>
      </c>
      <c r="R59" s="4">
        <v>237.04999999999998</v>
      </c>
      <c r="S59" s="3">
        <v>2</v>
      </c>
      <c r="T59" s="4">
        <v>831.76</v>
      </c>
      <c r="U59" s="5">
        <v>7.0000000000000007E-2</v>
      </c>
      <c r="V59" s="6">
        <v>58.223200000000006</v>
      </c>
      <c r="W59" s="6">
        <v>773.53679999999997</v>
      </c>
      <c r="X59" s="4">
        <v>11.37</v>
      </c>
      <c r="Y59" s="7">
        <v>784.90679999999998</v>
      </c>
    </row>
    <row r="60" spans="1:25" x14ac:dyDescent="0.25">
      <c r="A60" t="s">
        <v>264</v>
      </c>
      <c r="B60" s="2">
        <v>45435</v>
      </c>
      <c r="C60" s="3">
        <v>2024</v>
      </c>
      <c r="D60" s="3" t="s">
        <v>265</v>
      </c>
      <c r="E60" s="3" t="s">
        <v>266</v>
      </c>
      <c r="F60" s="3" t="s">
        <v>39</v>
      </c>
      <c r="G60" s="3" t="s">
        <v>40</v>
      </c>
      <c r="H60" s="3" t="s">
        <v>54</v>
      </c>
      <c r="I60" s="3" t="s">
        <v>136</v>
      </c>
      <c r="J60" s="3" t="s">
        <v>60</v>
      </c>
      <c r="K60" s="3" t="s">
        <v>115</v>
      </c>
      <c r="L60" s="3" t="s">
        <v>31</v>
      </c>
      <c r="M60" s="3" t="s">
        <v>37</v>
      </c>
      <c r="N60" s="3" t="s">
        <v>33</v>
      </c>
      <c r="O60" s="2">
        <v>45437</v>
      </c>
      <c r="P60" s="4">
        <v>2.52</v>
      </c>
      <c r="Q60" s="4">
        <v>4</v>
      </c>
      <c r="R60" s="4">
        <v>1.48</v>
      </c>
      <c r="S60" s="3">
        <v>39</v>
      </c>
      <c r="T60" s="4">
        <v>156</v>
      </c>
      <c r="U60" s="5">
        <v>0.08</v>
      </c>
      <c r="V60" s="6">
        <v>12.48</v>
      </c>
      <c r="W60" s="6">
        <v>143.52000000000001</v>
      </c>
      <c r="X60" s="4">
        <v>1.3</v>
      </c>
      <c r="Y60" s="7">
        <v>144.82000000000002</v>
      </c>
    </row>
    <row r="61" spans="1:25" x14ac:dyDescent="0.25">
      <c r="A61" t="s">
        <v>267</v>
      </c>
      <c r="B61" s="2">
        <v>45436</v>
      </c>
      <c r="C61" s="3">
        <v>2024</v>
      </c>
      <c r="D61" s="3" t="s">
        <v>268</v>
      </c>
      <c r="E61" s="3" t="s">
        <v>266</v>
      </c>
      <c r="F61" s="3" t="s">
        <v>39</v>
      </c>
      <c r="G61" s="3" t="s">
        <v>40</v>
      </c>
      <c r="H61" s="3" t="s">
        <v>47</v>
      </c>
      <c r="I61" s="3" t="s">
        <v>136</v>
      </c>
      <c r="J61" s="3" t="s">
        <v>49</v>
      </c>
      <c r="K61" s="3" t="s">
        <v>269</v>
      </c>
      <c r="L61" s="3" t="s">
        <v>31</v>
      </c>
      <c r="M61" s="3" t="s">
        <v>32</v>
      </c>
      <c r="N61" s="3" t="s">
        <v>33</v>
      </c>
      <c r="O61" s="2">
        <v>45438</v>
      </c>
      <c r="P61" s="4">
        <v>19.829999999999998</v>
      </c>
      <c r="Q61" s="4">
        <v>30.98</v>
      </c>
      <c r="R61" s="4">
        <v>11.150000000000002</v>
      </c>
      <c r="S61" s="3">
        <v>49</v>
      </c>
      <c r="T61" s="4">
        <v>1518.02</v>
      </c>
      <c r="U61" s="5">
        <v>0.09</v>
      </c>
      <c r="V61" s="6">
        <v>136.62180000000001</v>
      </c>
      <c r="W61" s="6">
        <v>1381.3982000000001</v>
      </c>
      <c r="X61" s="4">
        <v>19.510000000000002</v>
      </c>
      <c r="Y61" s="7">
        <v>1400.9082000000001</v>
      </c>
    </row>
    <row r="62" spans="1:25" x14ac:dyDescent="0.25">
      <c r="A62" t="s">
        <v>270</v>
      </c>
      <c r="B62" s="2">
        <v>45440</v>
      </c>
      <c r="C62" s="3">
        <v>2024</v>
      </c>
      <c r="D62" s="3" t="s">
        <v>271</v>
      </c>
      <c r="E62" s="3" t="s">
        <v>38</v>
      </c>
      <c r="F62" s="3" t="s">
        <v>39</v>
      </c>
      <c r="G62" s="3" t="s">
        <v>40</v>
      </c>
      <c r="H62" s="3" t="s">
        <v>54</v>
      </c>
      <c r="I62" s="3" t="s">
        <v>42</v>
      </c>
      <c r="J62" s="3" t="s">
        <v>60</v>
      </c>
      <c r="K62" s="3" t="s">
        <v>219</v>
      </c>
      <c r="L62" s="3" t="s">
        <v>46</v>
      </c>
      <c r="M62" s="3" t="s">
        <v>32</v>
      </c>
      <c r="N62" s="3" t="s">
        <v>33</v>
      </c>
      <c r="O62" s="2">
        <v>45442</v>
      </c>
      <c r="P62" s="4">
        <v>156.5</v>
      </c>
      <c r="Q62" s="4">
        <v>300.97000000000003</v>
      </c>
      <c r="R62" s="4">
        <v>144.47000000000003</v>
      </c>
      <c r="S62" s="3">
        <v>5</v>
      </c>
      <c r="T62" s="4">
        <v>1504.8500000000001</v>
      </c>
      <c r="U62" s="5">
        <v>7.0000000000000007E-2</v>
      </c>
      <c r="V62" s="6">
        <v>105.33950000000002</v>
      </c>
      <c r="W62" s="6">
        <v>1399.5105000000001</v>
      </c>
      <c r="X62" s="4">
        <v>7.18</v>
      </c>
      <c r="Y62" s="7">
        <v>1406.6905000000002</v>
      </c>
    </row>
    <row r="63" spans="1:25" x14ac:dyDescent="0.25">
      <c r="A63" t="s">
        <v>272</v>
      </c>
      <c r="B63" s="2">
        <v>45440</v>
      </c>
      <c r="C63" s="3">
        <v>2024</v>
      </c>
      <c r="D63" s="3" t="s">
        <v>273</v>
      </c>
      <c r="E63" s="3" t="s">
        <v>114</v>
      </c>
      <c r="F63" s="3" t="s">
        <v>26</v>
      </c>
      <c r="G63" s="3" t="s">
        <v>27</v>
      </c>
      <c r="H63" s="3" t="s">
        <v>47</v>
      </c>
      <c r="I63" s="3" t="s">
        <v>36</v>
      </c>
      <c r="J63" s="3" t="s">
        <v>30</v>
      </c>
      <c r="K63" s="3" t="s">
        <v>274</v>
      </c>
      <c r="L63" s="3" t="s">
        <v>31</v>
      </c>
      <c r="M63" s="3" t="s">
        <v>37</v>
      </c>
      <c r="N63" s="3" t="s">
        <v>44</v>
      </c>
      <c r="O63" s="2">
        <v>45442</v>
      </c>
      <c r="P63" s="4">
        <v>2.9</v>
      </c>
      <c r="Q63" s="4">
        <v>4.76</v>
      </c>
      <c r="R63" s="4">
        <v>1.8599999999999999</v>
      </c>
      <c r="S63" s="3">
        <v>27</v>
      </c>
      <c r="T63" s="4">
        <v>128.51999999999998</v>
      </c>
      <c r="U63" s="5">
        <v>7.0000000000000007E-2</v>
      </c>
      <c r="V63" s="6">
        <v>8.9963999999999995</v>
      </c>
      <c r="W63" s="6">
        <v>119.52359999999999</v>
      </c>
      <c r="X63" s="4">
        <v>0.88</v>
      </c>
      <c r="Y63" s="7">
        <v>120.40359999999998</v>
      </c>
    </row>
    <row r="64" spans="1:25" x14ac:dyDescent="0.25">
      <c r="A64" t="s">
        <v>275</v>
      </c>
      <c r="B64" s="2">
        <v>45441</v>
      </c>
      <c r="C64" s="3">
        <v>2024</v>
      </c>
      <c r="D64" s="3" t="s">
        <v>276</v>
      </c>
      <c r="E64" s="3" t="s">
        <v>277</v>
      </c>
      <c r="F64" s="3" t="s">
        <v>26</v>
      </c>
      <c r="G64" s="3" t="s">
        <v>27</v>
      </c>
      <c r="H64" s="3" t="s">
        <v>41</v>
      </c>
      <c r="I64" s="3" t="s">
        <v>36</v>
      </c>
      <c r="J64" s="3" t="s">
        <v>49</v>
      </c>
      <c r="K64" s="3" t="s">
        <v>219</v>
      </c>
      <c r="L64" s="3" t="s">
        <v>46</v>
      </c>
      <c r="M64" s="3" t="s">
        <v>32</v>
      </c>
      <c r="N64" s="3" t="s">
        <v>33</v>
      </c>
      <c r="O64" s="2">
        <v>45441</v>
      </c>
      <c r="P64" s="4">
        <v>156.5</v>
      </c>
      <c r="Q64" s="4">
        <v>300.97000000000003</v>
      </c>
      <c r="R64" s="4">
        <v>144.47000000000003</v>
      </c>
      <c r="S64" s="3">
        <v>1</v>
      </c>
      <c r="T64" s="4">
        <v>300.97000000000003</v>
      </c>
      <c r="U64" s="5">
        <v>0.06</v>
      </c>
      <c r="V64" s="6">
        <v>18.058199999999999</v>
      </c>
      <c r="W64" s="6">
        <v>282.91180000000003</v>
      </c>
      <c r="X64" s="4">
        <v>7.18</v>
      </c>
      <c r="Y64" s="7">
        <v>290.09180000000003</v>
      </c>
    </row>
    <row r="65" spans="1:25" x14ac:dyDescent="0.25">
      <c r="A65" t="s">
        <v>278</v>
      </c>
      <c r="B65" s="2">
        <v>45445</v>
      </c>
      <c r="C65" s="3">
        <v>2024</v>
      </c>
      <c r="D65" s="3" t="s">
        <v>91</v>
      </c>
      <c r="E65" s="3" t="s">
        <v>92</v>
      </c>
      <c r="F65" s="3" t="s">
        <v>39</v>
      </c>
      <c r="G65" s="3" t="s">
        <v>40</v>
      </c>
      <c r="H65" s="3" t="s">
        <v>54</v>
      </c>
      <c r="I65" s="3" t="s">
        <v>48</v>
      </c>
      <c r="J65" s="3" t="s">
        <v>60</v>
      </c>
      <c r="K65" s="3" t="s">
        <v>223</v>
      </c>
      <c r="L65" s="3" t="s">
        <v>31</v>
      </c>
      <c r="M65" s="3" t="s">
        <v>37</v>
      </c>
      <c r="N65" s="3" t="s">
        <v>33</v>
      </c>
      <c r="O65" s="2">
        <v>45446</v>
      </c>
      <c r="P65" s="4">
        <v>2.29</v>
      </c>
      <c r="Q65" s="4">
        <v>3.58</v>
      </c>
      <c r="R65" s="4">
        <v>1.29</v>
      </c>
      <c r="S65" s="3">
        <v>10</v>
      </c>
      <c r="T65" s="4">
        <v>35.799999999999997</v>
      </c>
      <c r="U65" s="5">
        <v>0.05</v>
      </c>
      <c r="V65" s="6">
        <v>1.79</v>
      </c>
      <c r="W65" s="6">
        <v>34.01</v>
      </c>
      <c r="X65" s="4">
        <v>1.63</v>
      </c>
      <c r="Y65" s="7">
        <v>35.64</v>
      </c>
    </row>
    <row r="66" spans="1:25" x14ac:dyDescent="0.25">
      <c r="A66" t="s">
        <v>279</v>
      </c>
      <c r="B66" s="2">
        <v>45446</v>
      </c>
      <c r="C66" s="3">
        <v>2024</v>
      </c>
      <c r="D66" s="3" t="s">
        <v>280</v>
      </c>
      <c r="E66" s="3" t="s">
        <v>187</v>
      </c>
      <c r="F66" s="3" t="s">
        <v>39</v>
      </c>
      <c r="G66" s="3" t="s">
        <v>40</v>
      </c>
      <c r="H66" s="3" t="s">
        <v>41</v>
      </c>
      <c r="I66" s="3" t="s">
        <v>88</v>
      </c>
      <c r="J66" s="3" t="s">
        <v>60</v>
      </c>
      <c r="K66" s="3" t="s">
        <v>51</v>
      </c>
      <c r="L66" s="3" t="s">
        <v>31</v>
      </c>
      <c r="M66" s="3" t="s">
        <v>32</v>
      </c>
      <c r="N66" s="3" t="s">
        <v>33</v>
      </c>
      <c r="O66" s="2">
        <v>45447</v>
      </c>
      <c r="P66" s="4">
        <v>99.39</v>
      </c>
      <c r="Q66" s="4">
        <v>162.93</v>
      </c>
      <c r="R66" s="4">
        <v>63.540000000000006</v>
      </c>
      <c r="S66" s="3">
        <v>7</v>
      </c>
      <c r="T66" s="4">
        <v>1140.51</v>
      </c>
      <c r="U66" s="5">
        <v>0.03</v>
      </c>
      <c r="V66" s="6">
        <v>34.215299999999999</v>
      </c>
      <c r="W66" s="6">
        <v>1106.2946999999999</v>
      </c>
      <c r="X66" s="4">
        <v>19.989999999999998</v>
      </c>
      <c r="Y66" s="7">
        <v>1126.2846999999999</v>
      </c>
    </row>
    <row r="67" spans="1:25" x14ac:dyDescent="0.25">
      <c r="A67" t="s">
        <v>281</v>
      </c>
      <c r="B67" s="2">
        <v>45446</v>
      </c>
      <c r="C67" s="3">
        <v>2024</v>
      </c>
      <c r="D67" s="3" t="s">
        <v>282</v>
      </c>
      <c r="E67" s="3" t="s">
        <v>283</v>
      </c>
      <c r="F67" s="3" t="s">
        <v>26</v>
      </c>
      <c r="G67" s="3" t="s">
        <v>27</v>
      </c>
      <c r="H67" s="3" t="s">
        <v>54</v>
      </c>
      <c r="I67" s="3" t="s">
        <v>36</v>
      </c>
      <c r="J67" s="3" t="s">
        <v>30</v>
      </c>
      <c r="K67" s="3" t="s">
        <v>284</v>
      </c>
      <c r="L67" s="3" t="s">
        <v>31</v>
      </c>
      <c r="M67" s="3" t="s">
        <v>37</v>
      </c>
      <c r="N67" s="3" t="s">
        <v>44</v>
      </c>
      <c r="O67" s="2">
        <v>45448</v>
      </c>
      <c r="P67" s="4">
        <v>1.6</v>
      </c>
      <c r="Q67" s="4">
        <v>2.62</v>
      </c>
      <c r="R67" s="4">
        <v>1.02</v>
      </c>
      <c r="S67" s="3">
        <v>34</v>
      </c>
      <c r="T67" s="4">
        <v>89.08</v>
      </c>
      <c r="U67" s="5">
        <v>0.08</v>
      </c>
      <c r="V67" s="6">
        <v>7.1264000000000003</v>
      </c>
      <c r="W67" s="6">
        <v>81.953599999999994</v>
      </c>
      <c r="X67" s="4">
        <v>0.8</v>
      </c>
      <c r="Y67" s="7">
        <v>82.753599999999992</v>
      </c>
    </row>
    <row r="68" spans="1:25" x14ac:dyDescent="0.25">
      <c r="A68" t="s">
        <v>285</v>
      </c>
      <c r="B68" s="2">
        <v>45449</v>
      </c>
      <c r="C68" s="3">
        <v>2024</v>
      </c>
      <c r="D68" s="3" t="s">
        <v>286</v>
      </c>
      <c r="E68" s="3" t="s">
        <v>287</v>
      </c>
      <c r="F68" s="3" t="s">
        <v>39</v>
      </c>
      <c r="G68" s="3" t="s">
        <v>40</v>
      </c>
      <c r="H68" s="3" t="s">
        <v>41</v>
      </c>
      <c r="I68" s="3" t="s">
        <v>42</v>
      </c>
      <c r="J68" s="3" t="s">
        <v>30</v>
      </c>
      <c r="K68" s="3" t="s">
        <v>288</v>
      </c>
      <c r="L68" s="3" t="s">
        <v>31</v>
      </c>
      <c r="M68" s="3" t="s">
        <v>32</v>
      </c>
      <c r="N68" s="3" t="s">
        <v>33</v>
      </c>
      <c r="O68" s="2">
        <v>45450</v>
      </c>
      <c r="P68" s="4">
        <v>3.4</v>
      </c>
      <c r="Q68" s="4">
        <v>5.4</v>
      </c>
      <c r="R68" s="4">
        <v>2.0000000000000004</v>
      </c>
      <c r="S68" s="3">
        <v>25</v>
      </c>
      <c r="T68" s="4">
        <v>135</v>
      </c>
      <c r="U68" s="5">
        <v>0.09</v>
      </c>
      <c r="V68" s="6">
        <v>12.15</v>
      </c>
      <c r="W68" s="6">
        <v>122.85</v>
      </c>
      <c r="X68" s="4">
        <v>7.78</v>
      </c>
      <c r="Y68" s="7">
        <v>130.63</v>
      </c>
    </row>
    <row r="69" spans="1:25" x14ac:dyDescent="0.25">
      <c r="A69" t="s">
        <v>289</v>
      </c>
      <c r="B69" s="2">
        <v>45450</v>
      </c>
      <c r="C69" s="3">
        <v>2024</v>
      </c>
      <c r="D69" s="3" t="s">
        <v>290</v>
      </c>
      <c r="E69" s="3" t="s">
        <v>291</v>
      </c>
      <c r="F69" s="3" t="s">
        <v>203</v>
      </c>
      <c r="G69" s="3" t="s">
        <v>204</v>
      </c>
      <c r="H69" s="3" t="s">
        <v>28</v>
      </c>
      <c r="I69" s="3" t="s">
        <v>88</v>
      </c>
      <c r="J69" s="3" t="s">
        <v>30</v>
      </c>
      <c r="K69" s="3" t="s">
        <v>292</v>
      </c>
      <c r="L69" s="3" t="s">
        <v>31</v>
      </c>
      <c r="M69" s="3" t="s">
        <v>37</v>
      </c>
      <c r="N69" s="3" t="s">
        <v>33</v>
      </c>
      <c r="O69" s="2">
        <v>45451</v>
      </c>
      <c r="P69" s="4">
        <v>11.11</v>
      </c>
      <c r="Q69" s="4">
        <v>19.84</v>
      </c>
      <c r="R69" s="4">
        <v>8.73</v>
      </c>
      <c r="S69" s="3">
        <v>26</v>
      </c>
      <c r="T69" s="4">
        <v>515.84</v>
      </c>
      <c r="U69" s="5">
        <v>7.0000000000000007E-2</v>
      </c>
      <c r="V69" s="6">
        <v>36.108800000000002</v>
      </c>
      <c r="W69" s="6">
        <v>479.73120000000006</v>
      </c>
      <c r="X69" s="4">
        <v>4.0999999999999996</v>
      </c>
      <c r="Y69" s="7">
        <v>483.83120000000008</v>
      </c>
    </row>
    <row r="70" spans="1:25" x14ac:dyDescent="0.25">
      <c r="A70" t="s">
        <v>293</v>
      </c>
      <c r="B70" s="2">
        <v>45451</v>
      </c>
      <c r="C70" s="3">
        <v>2024</v>
      </c>
      <c r="D70" s="3" t="s">
        <v>294</v>
      </c>
      <c r="E70" s="3" t="s">
        <v>295</v>
      </c>
      <c r="F70" s="3" t="s">
        <v>203</v>
      </c>
      <c r="G70" s="3" t="s">
        <v>204</v>
      </c>
      <c r="H70" s="3" t="s">
        <v>41</v>
      </c>
      <c r="I70" s="3" t="s">
        <v>57</v>
      </c>
      <c r="J70" s="3" t="s">
        <v>43</v>
      </c>
      <c r="K70" s="3" t="s">
        <v>93</v>
      </c>
      <c r="L70" s="3" t="s">
        <v>31</v>
      </c>
      <c r="M70" s="3" t="s">
        <v>37</v>
      </c>
      <c r="N70" s="3" t="s">
        <v>33</v>
      </c>
      <c r="O70" s="2">
        <v>45452</v>
      </c>
      <c r="P70" s="4">
        <v>1.82</v>
      </c>
      <c r="Q70" s="4">
        <v>2.98</v>
      </c>
      <c r="R70" s="4">
        <v>1.1599999999999999</v>
      </c>
      <c r="S70" s="3">
        <v>3</v>
      </c>
      <c r="T70" s="4">
        <v>8.94</v>
      </c>
      <c r="U70" s="5">
        <v>0.09</v>
      </c>
      <c r="V70" s="6">
        <v>0.80459999999999987</v>
      </c>
      <c r="W70" s="6">
        <v>8.1353999999999989</v>
      </c>
      <c r="X70" s="4">
        <v>1.58</v>
      </c>
      <c r="Y70" s="7">
        <v>9.7153999999999989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41C0C-572A-4BBE-B1DF-4552C15AA6BF}">
  <dimension ref="A1:J40"/>
  <sheetViews>
    <sheetView workbookViewId="0">
      <selection activeCell="G15" sqref="G15"/>
    </sheetView>
  </sheetViews>
  <sheetFormatPr defaultRowHeight="15" x14ac:dyDescent="0.25"/>
  <cols>
    <col min="1" max="1" width="20.42578125" bestFit="1" customWidth="1"/>
    <col min="2" max="2" width="24.42578125" bestFit="1" customWidth="1"/>
    <col min="4" max="4" width="27" customWidth="1"/>
    <col min="5" max="5" width="20.85546875" bestFit="1" customWidth="1"/>
    <col min="6" max="6" width="24.85546875" bestFit="1" customWidth="1"/>
    <col min="8" max="8" width="28.28515625" bestFit="1" customWidth="1"/>
    <col min="9" max="9" width="20.85546875" bestFit="1" customWidth="1"/>
    <col min="10" max="10" width="24.85546875" bestFit="1" customWidth="1"/>
  </cols>
  <sheetData>
    <row r="1" spans="1:10" ht="15.75" thickBot="1" x14ac:dyDescent="0.3">
      <c r="A1" s="8" t="s">
        <v>304</v>
      </c>
      <c r="B1" s="8" t="s">
        <v>305</v>
      </c>
      <c r="D1" s="9" t="s">
        <v>306</v>
      </c>
      <c r="E1" s="12"/>
      <c r="F1" s="12"/>
      <c r="G1" s="12"/>
      <c r="H1" s="12"/>
      <c r="I1" s="12"/>
      <c r="J1" s="13"/>
    </row>
    <row r="2" spans="1:10" x14ac:dyDescent="0.25">
      <c r="A2">
        <v>45.45</v>
      </c>
      <c r="B2">
        <v>45.44</v>
      </c>
    </row>
    <row r="3" spans="1:10" x14ac:dyDescent="0.25">
      <c r="A3">
        <v>47.25</v>
      </c>
      <c r="B3">
        <v>54.54</v>
      </c>
    </row>
    <row r="4" spans="1:10" x14ac:dyDescent="0.25">
      <c r="A4">
        <v>40.9</v>
      </c>
      <c r="B4">
        <v>243.38</v>
      </c>
      <c r="D4" t="s">
        <v>317</v>
      </c>
    </row>
    <row r="5" spans="1:10" ht="15.75" thickBot="1" x14ac:dyDescent="0.3">
      <c r="A5">
        <v>45.45</v>
      </c>
      <c r="B5">
        <v>67.12</v>
      </c>
    </row>
    <row r="6" spans="1:10" x14ac:dyDescent="0.25">
      <c r="A6">
        <v>36.36</v>
      </c>
      <c r="B6">
        <v>36.340000000000003</v>
      </c>
      <c r="D6" s="19"/>
      <c r="E6" s="19" t="s">
        <v>318</v>
      </c>
      <c r="F6" s="19" t="s">
        <v>319</v>
      </c>
    </row>
    <row r="7" spans="1:10" x14ac:dyDescent="0.25">
      <c r="A7">
        <v>27.27</v>
      </c>
      <c r="B7">
        <v>54.54</v>
      </c>
      <c r="D7" s="17" t="s">
        <v>320</v>
      </c>
      <c r="E7" s="17">
        <v>41.515128205128207</v>
      </c>
      <c r="F7" s="17">
        <v>95.006666666666675</v>
      </c>
    </row>
    <row r="8" spans="1:10" x14ac:dyDescent="0.25">
      <c r="A8">
        <v>38.61</v>
      </c>
      <c r="B8">
        <v>71.790000000000006</v>
      </c>
      <c r="D8" s="17" t="s">
        <v>321</v>
      </c>
      <c r="E8" s="17">
        <v>619.91372564102494</v>
      </c>
      <c r="F8" s="17">
        <v>4436.9317696969656</v>
      </c>
    </row>
    <row r="9" spans="1:10" x14ac:dyDescent="0.25">
      <c r="A9">
        <v>24.91</v>
      </c>
      <c r="B9">
        <v>219.69</v>
      </c>
      <c r="D9" s="17" t="s">
        <v>322</v>
      </c>
      <c r="E9" s="17">
        <v>39</v>
      </c>
      <c r="F9" s="17">
        <v>12</v>
      </c>
    </row>
    <row r="10" spans="1:10" x14ac:dyDescent="0.25">
      <c r="A10">
        <v>36.36</v>
      </c>
      <c r="B10">
        <v>102.71</v>
      </c>
      <c r="D10" s="17" t="s">
        <v>323</v>
      </c>
      <c r="E10" s="17">
        <v>0</v>
      </c>
      <c r="F10" s="17"/>
    </row>
    <row r="11" spans="1:10" x14ac:dyDescent="0.25">
      <c r="A11">
        <v>40.9</v>
      </c>
      <c r="B11">
        <v>90</v>
      </c>
      <c r="D11" s="17" t="s">
        <v>324</v>
      </c>
      <c r="E11" s="17">
        <v>12</v>
      </c>
      <c r="F11" s="17"/>
    </row>
    <row r="12" spans="1:10" x14ac:dyDescent="0.25">
      <c r="A12">
        <v>27.27</v>
      </c>
      <c r="B12">
        <v>81.81</v>
      </c>
      <c r="D12" s="17" t="s">
        <v>325</v>
      </c>
      <c r="E12" s="17">
        <v>-2.723919770600125</v>
      </c>
      <c r="F12" s="17"/>
    </row>
    <row r="13" spans="1:10" x14ac:dyDescent="0.25">
      <c r="A13">
        <v>5.25</v>
      </c>
      <c r="B13">
        <v>72.72</v>
      </c>
      <c r="D13" s="17" t="s">
        <v>326</v>
      </c>
      <c r="E13" s="17">
        <v>9.2366378887057832E-3</v>
      </c>
      <c r="F13" s="17"/>
    </row>
    <row r="14" spans="1:10" x14ac:dyDescent="0.25">
      <c r="A14">
        <v>29.03</v>
      </c>
      <c r="D14" s="17" t="s">
        <v>327</v>
      </c>
      <c r="E14" s="17">
        <v>1.7822875556493194</v>
      </c>
      <c r="F14" s="17"/>
    </row>
    <row r="15" spans="1:10" x14ac:dyDescent="0.25">
      <c r="A15">
        <v>3.39</v>
      </c>
      <c r="D15" s="17" t="s">
        <v>328</v>
      </c>
      <c r="E15" s="17">
        <v>1.8473275777411566E-2</v>
      </c>
      <c r="F15" s="17"/>
    </row>
    <row r="16" spans="1:10" ht="15.75" thickBot="1" x14ac:dyDescent="0.3">
      <c r="A16">
        <v>45.44</v>
      </c>
      <c r="D16" s="18" t="s">
        <v>329</v>
      </c>
      <c r="E16" s="18">
        <v>2.1788128296672284</v>
      </c>
      <c r="F16" s="18"/>
    </row>
    <row r="17" spans="1:1" x14ac:dyDescent="0.25">
      <c r="A17">
        <v>109.07</v>
      </c>
    </row>
    <row r="18" spans="1:1" x14ac:dyDescent="0.25">
      <c r="A18">
        <v>45.45</v>
      </c>
    </row>
    <row r="19" spans="1:1" x14ac:dyDescent="0.25">
      <c r="A19">
        <v>16.829999999999998</v>
      </c>
    </row>
    <row r="20" spans="1:1" x14ac:dyDescent="0.25">
      <c r="A20">
        <v>40.9</v>
      </c>
    </row>
    <row r="21" spans="1:1" x14ac:dyDescent="0.25">
      <c r="A21">
        <v>106.04</v>
      </c>
    </row>
    <row r="22" spans="1:1" x14ac:dyDescent="0.25">
      <c r="A22">
        <v>63.63</v>
      </c>
    </row>
    <row r="23" spans="1:1" x14ac:dyDescent="0.25">
      <c r="A23">
        <v>40.9</v>
      </c>
    </row>
    <row r="24" spans="1:1" x14ac:dyDescent="0.25">
      <c r="A24">
        <v>27.27</v>
      </c>
    </row>
    <row r="25" spans="1:1" x14ac:dyDescent="0.25">
      <c r="A25">
        <v>18.559999999999999</v>
      </c>
    </row>
    <row r="26" spans="1:1" x14ac:dyDescent="0.25">
      <c r="A26">
        <v>22.72</v>
      </c>
    </row>
    <row r="27" spans="1:1" x14ac:dyDescent="0.25">
      <c r="A27">
        <v>27.27</v>
      </c>
    </row>
    <row r="28" spans="1:1" x14ac:dyDescent="0.25">
      <c r="A28">
        <v>69.33</v>
      </c>
    </row>
    <row r="29" spans="1:1" x14ac:dyDescent="0.25">
      <c r="A29">
        <v>45.45</v>
      </c>
    </row>
    <row r="30" spans="1:1" x14ac:dyDescent="0.25">
      <c r="A30">
        <v>112</v>
      </c>
    </row>
    <row r="31" spans="1:1" x14ac:dyDescent="0.25">
      <c r="A31">
        <v>18.170000000000002</v>
      </c>
    </row>
    <row r="32" spans="1:1" x14ac:dyDescent="0.25">
      <c r="A32">
        <v>27.27</v>
      </c>
    </row>
    <row r="33" spans="1:1" x14ac:dyDescent="0.25">
      <c r="A33">
        <v>54.54</v>
      </c>
    </row>
    <row r="34" spans="1:1" x14ac:dyDescent="0.25">
      <c r="A34">
        <v>74.45</v>
      </c>
    </row>
    <row r="35" spans="1:1" x14ac:dyDescent="0.25">
      <c r="A35">
        <v>25.8</v>
      </c>
    </row>
    <row r="36" spans="1:1" x14ac:dyDescent="0.25">
      <c r="A36">
        <v>27.27</v>
      </c>
    </row>
    <row r="37" spans="1:1" x14ac:dyDescent="0.25">
      <c r="A37">
        <v>45.45</v>
      </c>
    </row>
    <row r="38" spans="1:1" x14ac:dyDescent="0.25">
      <c r="A38">
        <v>45.45</v>
      </c>
    </row>
    <row r="39" spans="1:1" x14ac:dyDescent="0.25">
      <c r="A39">
        <v>20.53</v>
      </c>
    </row>
    <row r="40" spans="1:1" x14ac:dyDescent="0.25">
      <c r="A40">
        <v>40.9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3EC0E-FAB4-48BD-87AF-401997433C31}">
  <dimension ref="A1:M60"/>
  <sheetViews>
    <sheetView workbookViewId="0">
      <selection activeCell="G17" sqref="G17"/>
    </sheetView>
  </sheetViews>
  <sheetFormatPr defaultRowHeight="15" x14ac:dyDescent="0.25"/>
  <cols>
    <col min="1" max="2" width="9.42578125" customWidth="1"/>
    <col min="4" max="4" width="27.42578125" customWidth="1"/>
  </cols>
  <sheetData>
    <row r="1" spans="1:13" ht="15.75" thickBot="1" x14ac:dyDescent="0.3">
      <c r="A1" s="8" t="s">
        <v>307</v>
      </c>
      <c r="B1" s="8" t="s">
        <v>308</v>
      </c>
      <c r="D1" s="9" t="s">
        <v>309</v>
      </c>
      <c r="E1" s="12"/>
      <c r="F1" s="12"/>
      <c r="G1" s="12"/>
      <c r="H1" s="12"/>
      <c r="I1" s="12"/>
      <c r="J1" s="13"/>
      <c r="K1" s="9"/>
      <c r="L1" s="12"/>
      <c r="M1" s="12"/>
    </row>
    <row r="2" spans="1:13" x14ac:dyDescent="0.25">
      <c r="A2">
        <v>36</v>
      </c>
      <c r="B2">
        <v>45</v>
      </c>
    </row>
    <row r="3" spans="1:13" x14ac:dyDescent="0.25">
      <c r="A3">
        <v>67</v>
      </c>
      <c r="B3">
        <v>75</v>
      </c>
      <c r="D3" t="s">
        <v>330</v>
      </c>
    </row>
    <row r="4" spans="1:13" ht="15.75" thickBot="1" x14ac:dyDescent="0.3">
      <c r="A4">
        <v>112</v>
      </c>
      <c r="B4">
        <v>118</v>
      </c>
    </row>
    <row r="5" spans="1:13" x14ac:dyDescent="0.25">
      <c r="A5">
        <v>45</v>
      </c>
      <c r="B5">
        <v>53</v>
      </c>
      <c r="D5" s="19"/>
      <c r="E5" s="19" t="s">
        <v>307</v>
      </c>
      <c r="F5" s="19" t="s">
        <v>308</v>
      </c>
    </row>
    <row r="6" spans="1:13" x14ac:dyDescent="0.25">
      <c r="A6">
        <v>55</v>
      </c>
      <c r="B6">
        <v>60</v>
      </c>
      <c r="D6" s="17" t="s">
        <v>320</v>
      </c>
      <c r="E6" s="17">
        <v>45.491525423728817</v>
      </c>
      <c r="F6" s="17">
        <v>50.711864406779661</v>
      </c>
    </row>
    <row r="7" spans="1:13" x14ac:dyDescent="0.25">
      <c r="A7">
        <v>45</v>
      </c>
      <c r="B7">
        <v>55</v>
      </c>
      <c r="D7" s="17" t="s">
        <v>321</v>
      </c>
      <c r="E7" s="17">
        <v>1307.2197545295151</v>
      </c>
      <c r="F7" s="17">
        <v>1302.2431326709525</v>
      </c>
    </row>
    <row r="8" spans="1:13" x14ac:dyDescent="0.25">
      <c r="A8">
        <v>47</v>
      </c>
      <c r="B8">
        <v>50</v>
      </c>
      <c r="D8" s="17" t="s">
        <v>322</v>
      </c>
      <c r="E8" s="17">
        <v>59</v>
      </c>
      <c r="F8" s="17">
        <v>59</v>
      </c>
    </row>
    <row r="9" spans="1:13" x14ac:dyDescent="0.25">
      <c r="A9">
        <v>41</v>
      </c>
      <c r="B9">
        <v>48</v>
      </c>
      <c r="D9" s="17" t="s">
        <v>331</v>
      </c>
      <c r="E9" s="17">
        <v>0.99690872306753175</v>
      </c>
      <c r="F9" s="17"/>
    </row>
    <row r="10" spans="1:13" x14ac:dyDescent="0.25">
      <c r="A10">
        <v>45</v>
      </c>
      <c r="B10">
        <v>51</v>
      </c>
      <c r="D10" s="17" t="s">
        <v>323</v>
      </c>
      <c r="E10" s="17">
        <v>0</v>
      </c>
      <c r="F10" s="17"/>
    </row>
    <row r="11" spans="1:13" x14ac:dyDescent="0.25">
      <c r="A11">
        <v>36</v>
      </c>
      <c r="B11">
        <v>41</v>
      </c>
      <c r="D11" s="17" t="s">
        <v>324</v>
      </c>
      <c r="E11" s="17">
        <v>58</v>
      </c>
      <c r="F11" s="17"/>
    </row>
    <row r="12" spans="1:13" x14ac:dyDescent="0.25">
      <c r="A12">
        <v>27</v>
      </c>
      <c r="B12">
        <v>30</v>
      </c>
      <c r="D12" s="17" t="s">
        <v>325</v>
      </c>
      <c r="E12" s="17">
        <v>-14.114089796185969</v>
      </c>
      <c r="F12" s="17"/>
    </row>
    <row r="13" spans="1:13" x14ac:dyDescent="0.25">
      <c r="A13">
        <v>39</v>
      </c>
      <c r="B13">
        <v>48</v>
      </c>
      <c r="D13" s="17" t="s">
        <v>326</v>
      </c>
      <c r="E13" s="17">
        <v>1.0278147854801545E-20</v>
      </c>
      <c r="F13" s="17"/>
    </row>
    <row r="14" spans="1:13" x14ac:dyDescent="0.25">
      <c r="A14">
        <v>48</v>
      </c>
      <c r="B14">
        <v>58</v>
      </c>
      <c r="D14" s="17" t="s">
        <v>327</v>
      </c>
      <c r="E14" s="17">
        <v>1.671552762454859</v>
      </c>
      <c r="F14" s="17"/>
    </row>
    <row r="15" spans="1:13" x14ac:dyDescent="0.25">
      <c r="A15">
        <v>36</v>
      </c>
      <c r="B15">
        <v>38</v>
      </c>
      <c r="D15" s="17" t="s">
        <v>328</v>
      </c>
      <c r="E15" s="17">
        <v>2.055629570960309E-20</v>
      </c>
      <c r="F15" s="17"/>
    </row>
    <row r="16" spans="1:13" ht="15.75" thickBot="1" x14ac:dyDescent="0.3">
      <c r="A16">
        <v>36</v>
      </c>
      <c r="B16">
        <v>41</v>
      </c>
      <c r="D16" s="18" t="s">
        <v>329</v>
      </c>
      <c r="E16" s="18">
        <v>2.0017174841452352</v>
      </c>
      <c r="F16" s="18"/>
    </row>
    <row r="17" spans="1:2" x14ac:dyDescent="0.25">
      <c r="A17">
        <v>27</v>
      </c>
      <c r="B17">
        <v>28</v>
      </c>
    </row>
    <row r="18" spans="1:2" x14ac:dyDescent="0.25">
      <c r="A18">
        <v>36</v>
      </c>
      <c r="B18">
        <v>40</v>
      </c>
    </row>
    <row r="19" spans="1:2" x14ac:dyDescent="0.25">
      <c r="A19">
        <v>45</v>
      </c>
      <c r="B19">
        <v>47</v>
      </c>
    </row>
    <row r="20" spans="1:2" x14ac:dyDescent="0.25">
      <c r="A20">
        <v>41</v>
      </c>
      <c r="B20">
        <v>48</v>
      </c>
    </row>
    <row r="21" spans="1:2" x14ac:dyDescent="0.25">
      <c r="A21">
        <v>27</v>
      </c>
      <c r="B21">
        <v>35</v>
      </c>
    </row>
    <row r="22" spans="1:2" x14ac:dyDescent="0.25">
      <c r="A22">
        <v>18</v>
      </c>
      <c r="B22">
        <v>24</v>
      </c>
    </row>
    <row r="23" spans="1:2" x14ac:dyDescent="0.25">
      <c r="A23">
        <v>41</v>
      </c>
      <c r="B23">
        <v>50</v>
      </c>
    </row>
    <row r="24" spans="1:2" x14ac:dyDescent="0.25">
      <c r="A24">
        <v>27</v>
      </c>
      <c r="B24">
        <v>34</v>
      </c>
    </row>
    <row r="25" spans="1:2" x14ac:dyDescent="0.25">
      <c r="A25">
        <v>242</v>
      </c>
      <c r="B25">
        <v>245</v>
      </c>
    </row>
    <row r="26" spans="1:2" x14ac:dyDescent="0.25">
      <c r="A26">
        <v>32</v>
      </c>
      <c r="B26">
        <v>37</v>
      </c>
    </row>
    <row r="27" spans="1:2" x14ac:dyDescent="0.25">
      <c r="A27">
        <v>117</v>
      </c>
      <c r="B27">
        <v>123</v>
      </c>
    </row>
    <row r="28" spans="1:2" x14ac:dyDescent="0.25">
      <c r="A28">
        <v>27</v>
      </c>
      <c r="B28">
        <v>28</v>
      </c>
    </row>
    <row r="29" spans="1:2" x14ac:dyDescent="0.25">
      <c r="A29">
        <v>41</v>
      </c>
      <c r="B29">
        <v>45</v>
      </c>
    </row>
    <row r="30" spans="1:2" x14ac:dyDescent="0.25">
      <c r="A30">
        <v>49</v>
      </c>
      <c r="B30">
        <v>58</v>
      </c>
    </row>
    <row r="31" spans="1:2" x14ac:dyDescent="0.25">
      <c r="A31">
        <v>10</v>
      </c>
      <c r="B31">
        <v>14</v>
      </c>
    </row>
    <row r="32" spans="1:2" x14ac:dyDescent="0.25">
      <c r="A32">
        <v>25</v>
      </c>
      <c r="B32">
        <v>31</v>
      </c>
    </row>
    <row r="33" spans="1:2" x14ac:dyDescent="0.25">
      <c r="A33">
        <v>36</v>
      </c>
      <c r="B33">
        <v>37</v>
      </c>
    </row>
    <row r="34" spans="1:2" x14ac:dyDescent="0.25">
      <c r="A34">
        <v>41</v>
      </c>
      <c r="B34">
        <v>42</v>
      </c>
    </row>
    <row r="35" spans="1:2" x14ac:dyDescent="0.25">
      <c r="A35">
        <v>27</v>
      </c>
      <c r="B35">
        <v>32</v>
      </c>
    </row>
    <row r="36" spans="1:2" x14ac:dyDescent="0.25">
      <c r="A36">
        <v>5</v>
      </c>
      <c r="B36">
        <v>14</v>
      </c>
    </row>
    <row r="37" spans="1:2" x14ac:dyDescent="0.25">
      <c r="A37">
        <v>29</v>
      </c>
      <c r="B37">
        <v>34</v>
      </c>
    </row>
    <row r="38" spans="1:2" x14ac:dyDescent="0.25">
      <c r="A38">
        <v>3</v>
      </c>
      <c r="B38">
        <v>4</v>
      </c>
    </row>
    <row r="39" spans="1:2" x14ac:dyDescent="0.25">
      <c r="A39">
        <v>45</v>
      </c>
      <c r="B39">
        <v>49</v>
      </c>
    </row>
    <row r="40" spans="1:2" x14ac:dyDescent="0.25">
      <c r="A40">
        <v>109</v>
      </c>
      <c r="B40">
        <v>111</v>
      </c>
    </row>
    <row r="41" spans="1:2" x14ac:dyDescent="0.25">
      <c r="A41">
        <v>45</v>
      </c>
      <c r="B41">
        <v>49</v>
      </c>
    </row>
    <row r="42" spans="1:2" x14ac:dyDescent="0.25">
      <c r="A42">
        <v>17</v>
      </c>
      <c r="B42">
        <v>24</v>
      </c>
    </row>
    <row r="43" spans="1:2" x14ac:dyDescent="0.25">
      <c r="A43">
        <v>41</v>
      </c>
      <c r="B43">
        <v>49</v>
      </c>
    </row>
    <row r="44" spans="1:2" x14ac:dyDescent="0.25">
      <c r="A44">
        <v>106</v>
      </c>
      <c r="B44">
        <v>109</v>
      </c>
    </row>
    <row r="45" spans="1:2" x14ac:dyDescent="0.25">
      <c r="A45">
        <v>64</v>
      </c>
      <c r="B45">
        <v>73</v>
      </c>
    </row>
    <row r="46" spans="1:2" x14ac:dyDescent="0.25">
      <c r="A46">
        <v>41</v>
      </c>
      <c r="B46">
        <v>44</v>
      </c>
    </row>
    <row r="47" spans="1:2" x14ac:dyDescent="0.25">
      <c r="A47">
        <v>27</v>
      </c>
      <c r="B47">
        <v>36</v>
      </c>
    </row>
    <row r="48" spans="1:2" x14ac:dyDescent="0.25">
      <c r="A48">
        <v>45</v>
      </c>
      <c r="B48">
        <v>47</v>
      </c>
    </row>
    <row r="49" spans="1:2" x14ac:dyDescent="0.25">
      <c r="A49">
        <v>45</v>
      </c>
      <c r="B49">
        <v>53</v>
      </c>
    </row>
    <row r="50" spans="1:2" x14ac:dyDescent="0.25">
      <c r="A50">
        <v>21</v>
      </c>
      <c r="B50">
        <v>23</v>
      </c>
    </row>
    <row r="51" spans="1:2" x14ac:dyDescent="0.25">
      <c r="A51">
        <v>41</v>
      </c>
      <c r="B51">
        <v>42</v>
      </c>
    </row>
    <row r="52" spans="1:2" x14ac:dyDescent="0.25">
      <c r="A52">
        <v>43</v>
      </c>
      <c r="B52">
        <v>50</v>
      </c>
    </row>
    <row r="53" spans="1:2" x14ac:dyDescent="0.25">
      <c r="A53">
        <v>27</v>
      </c>
      <c r="B53">
        <v>30</v>
      </c>
    </row>
    <row r="54" spans="1:2" x14ac:dyDescent="0.25">
      <c r="A54">
        <v>8</v>
      </c>
      <c r="B54">
        <v>17</v>
      </c>
    </row>
    <row r="55" spans="1:2" x14ac:dyDescent="0.25">
      <c r="A55">
        <v>27</v>
      </c>
      <c r="B55">
        <v>29</v>
      </c>
    </row>
    <row r="56" spans="1:2" x14ac:dyDescent="0.25">
      <c r="A56">
        <v>69</v>
      </c>
      <c r="B56">
        <v>71</v>
      </c>
    </row>
    <row r="57" spans="1:2" x14ac:dyDescent="0.25">
      <c r="A57">
        <v>45</v>
      </c>
      <c r="B57">
        <v>46</v>
      </c>
    </row>
    <row r="58" spans="1:2" x14ac:dyDescent="0.25">
      <c r="A58">
        <v>112</v>
      </c>
      <c r="B58">
        <v>120</v>
      </c>
    </row>
    <row r="59" spans="1:2" x14ac:dyDescent="0.25">
      <c r="A59">
        <v>18</v>
      </c>
      <c r="B59">
        <v>24</v>
      </c>
    </row>
    <row r="60" spans="1:2" x14ac:dyDescent="0.25">
      <c r="A60">
        <v>27</v>
      </c>
      <c r="B60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4C149-DFB3-41F2-8329-272A2D29D3EE}">
  <dimension ref="A1:Q95"/>
  <sheetViews>
    <sheetView tabSelected="1" topLeftCell="A12" workbookViewId="0">
      <selection activeCell="J29" sqref="J29"/>
    </sheetView>
  </sheetViews>
  <sheetFormatPr defaultRowHeight="15" x14ac:dyDescent="0.25"/>
  <cols>
    <col min="1" max="1" width="7.5703125" bestFit="1" customWidth="1"/>
    <col min="2" max="2" width="16.140625" bestFit="1" customWidth="1"/>
    <col min="3" max="3" width="4.140625" bestFit="1" customWidth="1"/>
    <col min="4" max="4" width="14.5703125" bestFit="1" customWidth="1"/>
    <col min="5" max="5" width="12.42578125" bestFit="1" customWidth="1"/>
    <col min="6" max="6" width="16.5703125" bestFit="1" customWidth="1"/>
    <col min="7" max="7" width="15.28515625" bestFit="1" customWidth="1"/>
    <col min="9" max="9" width="18.140625" customWidth="1"/>
    <col min="10" max="10" width="16.5703125" bestFit="1" customWidth="1"/>
    <col min="11" max="11" width="12.42578125" bestFit="1" customWidth="1"/>
    <col min="12" max="12" width="15.140625" bestFit="1" customWidth="1"/>
    <col min="13" max="13" width="12.85546875" bestFit="1" customWidth="1"/>
    <col min="14" max="14" width="17.140625" bestFit="1" customWidth="1"/>
    <col min="15" max="15" width="15.7109375" bestFit="1" customWidth="1"/>
  </cols>
  <sheetData>
    <row r="1" spans="1:16" s="8" customFormat="1" ht="15.75" thickBot="1" x14ac:dyDescent="0.3">
      <c r="A1" s="9" t="s">
        <v>296</v>
      </c>
      <c r="B1" s="10" t="s">
        <v>297</v>
      </c>
      <c r="C1" s="10" t="s">
        <v>298</v>
      </c>
      <c r="D1" s="10" t="s">
        <v>299</v>
      </c>
      <c r="E1" s="10" t="s">
        <v>300</v>
      </c>
      <c r="F1" s="10" t="s">
        <v>301</v>
      </c>
      <c r="G1" s="11" t="s">
        <v>302</v>
      </c>
      <c r="I1" s="9" t="s">
        <v>303</v>
      </c>
      <c r="J1" s="12"/>
      <c r="K1" s="12"/>
      <c r="L1" s="12"/>
      <c r="M1" s="12"/>
      <c r="N1" s="12"/>
      <c r="O1" s="13"/>
    </row>
    <row r="2" spans="1:16" ht="15.75" thickBot="1" x14ac:dyDescent="0.3">
      <c r="A2">
        <v>63</v>
      </c>
      <c r="B2">
        <v>32</v>
      </c>
      <c r="C2">
        <v>19.133997573659098</v>
      </c>
      <c r="D2">
        <v>32</v>
      </c>
      <c r="E2">
        <v>25</v>
      </c>
      <c r="F2">
        <v>4070</v>
      </c>
      <c r="G2">
        <v>54.54</v>
      </c>
    </row>
    <row r="3" spans="1:16" x14ac:dyDescent="0.25">
      <c r="A3">
        <v>65</v>
      </c>
      <c r="B3">
        <v>16</v>
      </c>
      <c r="C3">
        <v>41.027443724862565</v>
      </c>
      <c r="D3">
        <v>16</v>
      </c>
      <c r="E3">
        <v>2</v>
      </c>
      <c r="F3">
        <v>7413</v>
      </c>
      <c r="G3">
        <v>145.88999999999999</v>
      </c>
      <c r="I3" s="19"/>
      <c r="J3" s="19" t="s">
        <v>296</v>
      </c>
      <c r="K3" s="19" t="s">
        <v>297</v>
      </c>
      <c r="L3" s="19" t="s">
        <v>298</v>
      </c>
      <c r="M3" s="19" t="s">
        <v>299</v>
      </c>
      <c r="N3" s="19" t="s">
        <v>300</v>
      </c>
      <c r="O3" s="19" t="s">
        <v>301</v>
      </c>
      <c r="P3" s="19" t="s">
        <v>302</v>
      </c>
    </row>
    <row r="4" spans="1:16" x14ac:dyDescent="0.25">
      <c r="A4">
        <v>68</v>
      </c>
      <c r="B4">
        <v>3</v>
      </c>
      <c r="C4">
        <v>33.225203453522738</v>
      </c>
      <c r="D4">
        <v>3</v>
      </c>
      <c r="E4">
        <v>3</v>
      </c>
      <c r="F4">
        <v>12364</v>
      </c>
      <c r="G4">
        <v>298.01</v>
      </c>
      <c r="I4" s="17" t="s">
        <v>296</v>
      </c>
      <c r="J4" s="17">
        <v>1</v>
      </c>
      <c r="K4" s="17"/>
      <c r="L4" s="17"/>
      <c r="M4" s="17"/>
      <c r="N4" s="17"/>
      <c r="O4" s="17"/>
      <c r="P4" s="17"/>
    </row>
    <row r="5" spans="1:16" x14ac:dyDescent="0.25">
      <c r="A5">
        <v>70</v>
      </c>
      <c r="B5">
        <v>58</v>
      </c>
      <c r="C5">
        <v>35.454063891019217</v>
      </c>
      <c r="D5">
        <v>58</v>
      </c>
      <c r="E5">
        <v>26</v>
      </c>
      <c r="F5">
        <v>3248</v>
      </c>
      <c r="G5">
        <v>38.159999999999997</v>
      </c>
      <c r="I5" s="17" t="s">
        <v>297</v>
      </c>
      <c r="J5" s="17">
        <v>-0.11452382521905115</v>
      </c>
      <c r="K5" s="17">
        <v>1</v>
      </c>
      <c r="L5" s="17"/>
      <c r="M5" s="17"/>
      <c r="N5" s="17"/>
      <c r="O5" s="17"/>
      <c r="P5" s="17"/>
    </row>
    <row r="6" spans="1:16" x14ac:dyDescent="0.25">
      <c r="A6">
        <v>71</v>
      </c>
      <c r="B6">
        <v>3</v>
      </c>
      <c r="C6">
        <v>27.675644505300543</v>
      </c>
      <c r="D6">
        <v>3</v>
      </c>
      <c r="E6">
        <v>3</v>
      </c>
      <c r="F6">
        <v>15483</v>
      </c>
      <c r="G6">
        <v>350.63</v>
      </c>
      <c r="I6" s="17" t="s">
        <v>298</v>
      </c>
      <c r="J6" s="17">
        <v>-1.6416166661390032E-2</v>
      </c>
      <c r="K6" s="17">
        <v>-0.11718416012168859</v>
      </c>
      <c r="L6" s="17">
        <v>1</v>
      </c>
      <c r="M6" s="17"/>
      <c r="N6" s="17"/>
      <c r="O6" s="17"/>
      <c r="P6" s="17"/>
    </row>
    <row r="7" spans="1:16" x14ac:dyDescent="0.25">
      <c r="A7">
        <v>76</v>
      </c>
      <c r="B7">
        <v>96</v>
      </c>
      <c r="C7">
        <v>30</v>
      </c>
      <c r="D7">
        <v>234</v>
      </c>
      <c r="E7">
        <v>0</v>
      </c>
      <c r="F7">
        <v>1167</v>
      </c>
      <c r="G7">
        <v>27.27</v>
      </c>
      <c r="I7" s="17" t="s">
        <v>299</v>
      </c>
      <c r="J7" s="17">
        <v>-0.16623515055328766</v>
      </c>
      <c r="K7" s="17">
        <v>0.79554904707603213</v>
      </c>
      <c r="L7" s="17">
        <v>-7.7667113200200616E-2</v>
      </c>
      <c r="M7" s="17">
        <v>1</v>
      </c>
      <c r="N7" s="17"/>
      <c r="O7" s="17"/>
      <c r="P7" s="17"/>
    </row>
    <row r="8" spans="1:16" x14ac:dyDescent="0.25">
      <c r="A8">
        <v>77</v>
      </c>
      <c r="B8">
        <v>91</v>
      </c>
      <c r="C8">
        <v>22.962384249054928</v>
      </c>
      <c r="D8">
        <v>148</v>
      </c>
      <c r="E8">
        <v>8</v>
      </c>
      <c r="F8">
        <v>3321</v>
      </c>
      <c r="G8">
        <v>54.54</v>
      </c>
      <c r="I8" s="17" t="s">
        <v>300</v>
      </c>
      <c r="J8" s="17">
        <v>-0.12054787516656476</v>
      </c>
      <c r="K8" s="17">
        <v>0.46751149434877426</v>
      </c>
      <c r="L8" s="17">
        <v>-7.8075225413805696E-2</v>
      </c>
      <c r="M8" s="17">
        <v>0.18289182277466062</v>
      </c>
      <c r="N8" s="17">
        <v>1</v>
      </c>
      <c r="O8" s="17"/>
      <c r="P8" s="17"/>
    </row>
    <row r="9" spans="1:16" x14ac:dyDescent="0.25">
      <c r="A9">
        <v>78</v>
      </c>
      <c r="B9">
        <v>78</v>
      </c>
      <c r="C9">
        <v>18</v>
      </c>
      <c r="D9">
        <v>78</v>
      </c>
      <c r="E9">
        <v>54</v>
      </c>
      <c r="F9">
        <v>630</v>
      </c>
      <c r="G9">
        <v>3.42</v>
      </c>
      <c r="I9" s="17" t="s">
        <v>301</v>
      </c>
      <c r="J9" s="17">
        <v>0.10585595621806636</v>
      </c>
      <c r="K9" s="17">
        <v>-0.27379466150475473</v>
      </c>
      <c r="L9" s="17">
        <v>-9.4033312609617566E-3</v>
      </c>
      <c r="M9" s="17">
        <v>-0.26086070147490548</v>
      </c>
      <c r="N9" s="17">
        <v>-0.29319856014087486</v>
      </c>
      <c r="O9" s="17">
        <v>1</v>
      </c>
      <c r="P9" s="17"/>
    </row>
    <row r="10" spans="1:16" ht="15.75" thickBot="1" x14ac:dyDescent="0.3">
      <c r="A10">
        <v>80</v>
      </c>
      <c r="B10">
        <v>9</v>
      </c>
      <c r="C10">
        <v>40.676262648885903</v>
      </c>
      <c r="D10">
        <v>9</v>
      </c>
      <c r="E10">
        <v>9</v>
      </c>
      <c r="F10">
        <v>6052</v>
      </c>
      <c r="G10">
        <v>121.79</v>
      </c>
      <c r="I10" s="18" t="s">
        <v>302</v>
      </c>
      <c r="J10" s="18">
        <v>0.10810784676445578</v>
      </c>
      <c r="K10" s="18">
        <v>-0.29413229113225381</v>
      </c>
      <c r="L10" s="18">
        <v>-3.2785582053527348E-3</v>
      </c>
      <c r="M10" s="18">
        <v>-0.26285849505179565</v>
      </c>
      <c r="N10" s="18">
        <v>-0.29779480504997718</v>
      </c>
      <c r="O10" s="18">
        <v>0.99163959092116616</v>
      </c>
      <c r="P10" s="18">
        <v>1</v>
      </c>
    </row>
    <row r="11" spans="1:16" x14ac:dyDescent="0.25">
      <c r="A11">
        <v>81</v>
      </c>
      <c r="B11">
        <v>50</v>
      </c>
      <c r="C11">
        <v>39.992692929311623</v>
      </c>
      <c r="D11">
        <v>50</v>
      </c>
      <c r="E11">
        <v>20</v>
      </c>
      <c r="F11">
        <v>10907</v>
      </c>
      <c r="G11">
        <v>253.01</v>
      </c>
    </row>
    <row r="12" spans="1:16" x14ac:dyDescent="0.25">
      <c r="A12">
        <v>82</v>
      </c>
      <c r="B12">
        <v>33</v>
      </c>
      <c r="C12">
        <v>19.556113360228828</v>
      </c>
      <c r="D12">
        <v>33</v>
      </c>
      <c r="E12">
        <v>12</v>
      </c>
      <c r="F12">
        <v>11889</v>
      </c>
      <c r="G12">
        <v>263.70999999999998</v>
      </c>
    </row>
    <row r="13" spans="1:16" x14ac:dyDescent="0.25">
      <c r="A13">
        <v>88</v>
      </c>
      <c r="B13">
        <v>57</v>
      </c>
      <c r="C13">
        <v>21.831323703314496</v>
      </c>
      <c r="D13">
        <v>57</v>
      </c>
      <c r="E13">
        <v>9</v>
      </c>
      <c r="F13">
        <v>2580</v>
      </c>
      <c r="G13">
        <v>48.79</v>
      </c>
      <c r="I13" t="s">
        <v>332</v>
      </c>
    </row>
    <row r="14" spans="1:16" ht="15.75" thickBot="1" x14ac:dyDescent="0.3">
      <c r="A14">
        <v>89</v>
      </c>
      <c r="B14">
        <v>93</v>
      </c>
      <c r="C14">
        <v>35</v>
      </c>
      <c r="D14">
        <v>93</v>
      </c>
      <c r="E14">
        <v>26</v>
      </c>
      <c r="F14">
        <v>2654</v>
      </c>
      <c r="G14">
        <v>45.45</v>
      </c>
    </row>
    <row r="15" spans="1:16" x14ac:dyDescent="0.25">
      <c r="A15">
        <v>90</v>
      </c>
      <c r="B15">
        <v>83</v>
      </c>
      <c r="C15">
        <v>45</v>
      </c>
      <c r="D15">
        <v>64</v>
      </c>
      <c r="E15">
        <v>53</v>
      </c>
      <c r="F15">
        <v>2576</v>
      </c>
      <c r="G15">
        <v>59.98</v>
      </c>
      <c r="I15" s="20" t="s">
        <v>333</v>
      </c>
      <c r="J15" s="20"/>
    </row>
    <row r="16" spans="1:16" x14ac:dyDescent="0.25">
      <c r="A16">
        <v>92</v>
      </c>
      <c r="B16">
        <v>3</v>
      </c>
      <c r="C16">
        <v>40.924326372881644</v>
      </c>
      <c r="D16">
        <v>3</v>
      </c>
      <c r="E16">
        <v>3</v>
      </c>
      <c r="F16">
        <v>2442</v>
      </c>
      <c r="G16">
        <v>18.170000000000002</v>
      </c>
      <c r="I16" s="17" t="s">
        <v>334</v>
      </c>
      <c r="J16" s="17">
        <v>0.9916395909211656</v>
      </c>
    </row>
    <row r="17" spans="1:17" x14ac:dyDescent="0.25">
      <c r="A17">
        <v>93</v>
      </c>
      <c r="B17">
        <v>30</v>
      </c>
      <c r="C17">
        <v>22.780257319466287</v>
      </c>
      <c r="D17">
        <v>27</v>
      </c>
      <c r="E17">
        <v>12</v>
      </c>
      <c r="F17">
        <v>2026</v>
      </c>
      <c r="G17">
        <v>41.4</v>
      </c>
      <c r="I17" s="17" t="s">
        <v>335</v>
      </c>
      <c r="J17" s="17">
        <v>0.98334907828229667</v>
      </c>
    </row>
    <row r="18" spans="1:17" x14ac:dyDescent="0.25">
      <c r="A18">
        <v>99</v>
      </c>
      <c r="B18">
        <v>9</v>
      </c>
      <c r="C18">
        <v>53.161413080382587</v>
      </c>
      <c r="D18">
        <v>0</v>
      </c>
      <c r="E18">
        <v>0</v>
      </c>
      <c r="F18">
        <v>3898</v>
      </c>
      <c r="G18">
        <v>63.63</v>
      </c>
      <c r="I18" s="17" t="s">
        <v>336</v>
      </c>
      <c r="J18" s="17">
        <v>0.98305695684865269</v>
      </c>
    </row>
    <row r="19" spans="1:17" x14ac:dyDescent="0.25">
      <c r="A19">
        <v>104</v>
      </c>
      <c r="B19">
        <v>60</v>
      </c>
      <c r="C19">
        <v>21.066489382460844</v>
      </c>
      <c r="D19">
        <v>30</v>
      </c>
      <c r="E19">
        <v>30</v>
      </c>
      <c r="F19">
        <v>2197</v>
      </c>
      <c r="G19">
        <v>45.44</v>
      </c>
      <c r="I19" s="17" t="s">
        <v>337</v>
      </c>
      <c r="J19" s="17">
        <v>14.249149957084271</v>
      </c>
    </row>
    <row r="20" spans="1:17" ht="15.75" thickBot="1" x14ac:dyDescent="0.3">
      <c r="A20">
        <v>106</v>
      </c>
      <c r="B20">
        <v>94</v>
      </c>
      <c r="C20">
        <v>36.017839555524056</v>
      </c>
      <c r="D20">
        <v>185</v>
      </c>
      <c r="E20">
        <v>30</v>
      </c>
      <c r="F20">
        <v>2275</v>
      </c>
      <c r="G20">
        <v>54.54</v>
      </c>
      <c r="I20" s="18" t="s">
        <v>322</v>
      </c>
      <c r="J20" s="18">
        <v>59</v>
      </c>
    </row>
    <row r="21" spans="1:17" x14ac:dyDescent="0.25">
      <c r="A21">
        <v>110</v>
      </c>
      <c r="B21">
        <v>8</v>
      </c>
      <c r="C21">
        <v>39.584289812853818</v>
      </c>
      <c r="D21">
        <v>8</v>
      </c>
      <c r="E21">
        <v>8</v>
      </c>
      <c r="F21">
        <v>11388</v>
      </c>
      <c r="G21">
        <v>243.38</v>
      </c>
    </row>
    <row r="22" spans="1:17" ht="15.75" thickBot="1" x14ac:dyDescent="0.3">
      <c r="A22">
        <v>111</v>
      </c>
      <c r="B22">
        <v>8</v>
      </c>
      <c r="C22">
        <v>38.237797924010991</v>
      </c>
      <c r="D22">
        <v>8</v>
      </c>
      <c r="E22">
        <v>8</v>
      </c>
      <c r="F22">
        <v>1334</v>
      </c>
      <c r="G22">
        <v>10.81</v>
      </c>
      <c r="I22" t="s">
        <v>338</v>
      </c>
    </row>
    <row r="23" spans="1:17" x14ac:dyDescent="0.25">
      <c r="A23">
        <v>113</v>
      </c>
      <c r="B23">
        <v>7</v>
      </c>
      <c r="C23">
        <v>51.449236860934967</v>
      </c>
      <c r="D23">
        <v>7</v>
      </c>
      <c r="E23">
        <v>7</v>
      </c>
      <c r="F23">
        <v>1018</v>
      </c>
      <c r="G23">
        <v>13.35</v>
      </c>
      <c r="I23" s="19"/>
      <c r="J23" s="19" t="s">
        <v>324</v>
      </c>
      <c r="K23" s="19" t="s">
        <v>342</v>
      </c>
      <c r="L23" s="19" t="s">
        <v>343</v>
      </c>
      <c r="M23" s="19" t="s">
        <v>344</v>
      </c>
      <c r="N23" s="19" t="s">
        <v>345</v>
      </c>
    </row>
    <row r="24" spans="1:17" x14ac:dyDescent="0.25">
      <c r="A24">
        <v>114</v>
      </c>
      <c r="B24">
        <v>3</v>
      </c>
      <c r="C24">
        <v>36.694938388721688</v>
      </c>
      <c r="D24">
        <v>3</v>
      </c>
      <c r="E24">
        <v>3</v>
      </c>
      <c r="F24">
        <v>4224</v>
      </c>
      <c r="G24">
        <v>99.23</v>
      </c>
      <c r="I24" s="17" t="s">
        <v>339</v>
      </c>
      <c r="J24" s="17">
        <v>1</v>
      </c>
      <c r="K24" s="17">
        <v>683474.32639420766</v>
      </c>
      <c r="L24" s="17">
        <v>683474.32639420766</v>
      </c>
      <c r="M24" s="17">
        <v>3366.2339186002887</v>
      </c>
      <c r="N24" s="17">
        <v>2.1707533011292529E-52</v>
      </c>
    </row>
    <row r="25" spans="1:17" x14ac:dyDescent="0.25">
      <c r="A25">
        <v>117</v>
      </c>
      <c r="B25">
        <v>23</v>
      </c>
      <c r="C25">
        <v>23</v>
      </c>
      <c r="D25">
        <v>23</v>
      </c>
      <c r="E25">
        <v>23</v>
      </c>
      <c r="F25">
        <v>3608</v>
      </c>
      <c r="G25">
        <v>67.12</v>
      </c>
      <c r="I25" s="17" t="s">
        <v>340</v>
      </c>
      <c r="J25" s="17">
        <v>57</v>
      </c>
      <c r="K25" s="17">
        <v>11573.181646470055</v>
      </c>
      <c r="L25" s="17">
        <v>203.03827449947465</v>
      </c>
      <c r="M25" s="17"/>
      <c r="N25" s="17"/>
    </row>
    <row r="26" spans="1:17" ht="15.75" thickBot="1" x14ac:dyDescent="0.3">
      <c r="A26">
        <v>121</v>
      </c>
      <c r="B26">
        <v>89</v>
      </c>
      <c r="C26">
        <v>23.366158557434872</v>
      </c>
      <c r="D26">
        <v>89</v>
      </c>
      <c r="E26">
        <v>26</v>
      </c>
      <c r="F26">
        <v>2864</v>
      </c>
      <c r="G26">
        <v>36.340000000000003</v>
      </c>
      <c r="I26" s="18" t="s">
        <v>24</v>
      </c>
      <c r="J26" s="18">
        <v>58</v>
      </c>
      <c r="K26" s="18">
        <v>695047.50804067776</v>
      </c>
      <c r="L26" s="18"/>
      <c r="M26" s="18"/>
      <c r="N26" s="18"/>
    </row>
    <row r="27" spans="1:17" ht="15.75" thickBot="1" x14ac:dyDescent="0.3">
      <c r="A27">
        <v>122</v>
      </c>
      <c r="B27">
        <v>95</v>
      </c>
      <c r="C27">
        <v>24.039338559977303</v>
      </c>
      <c r="D27">
        <v>232</v>
      </c>
      <c r="E27">
        <v>1</v>
      </c>
      <c r="F27">
        <v>2171</v>
      </c>
      <c r="G27">
        <v>10.07</v>
      </c>
    </row>
    <row r="28" spans="1:17" x14ac:dyDescent="0.25">
      <c r="A28">
        <v>124</v>
      </c>
      <c r="B28">
        <v>80</v>
      </c>
      <c r="C28">
        <v>33.002977347978174</v>
      </c>
      <c r="D28">
        <v>80</v>
      </c>
      <c r="E28">
        <v>12</v>
      </c>
      <c r="F28">
        <v>2374</v>
      </c>
      <c r="G28">
        <v>36.36</v>
      </c>
      <c r="I28" s="19"/>
      <c r="J28" s="19" t="s">
        <v>346</v>
      </c>
      <c r="K28" s="19" t="s">
        <v>337</v>
      </c>
      <c r="L28" s="19" t="s">
        <v>325</v>
      </c>
      <c r="M28" s="19" t="s">
        <v>347</v>
      </c>
      <c r="N28" s="19" t="s">
        <v>348</v>
      </c>
      <c r="O28" s="19" t="s">
        <v>349</v>
      </c>
      <c r="P28" s="19" t="s">
        <v>350</v>
      </c>
      <c r="Q28" s="19" t="s">
        <v>351</v>
      </c>
    </row>
    <row r="29" spans="1:17" x14ac:dyDescent="0.25">
      <c r="A29">
        <v>125</v>
      </c>
      <c r="B29">
        <v>24</v>
      </c>
      <c r="C29">
        <v>52.718274465530953</v>
      </c>
      <c r="D29">
        <v>24</v>
      </c>
      <c r="E29">
        <v>24</v>
      </c>
      <c r="F29">
        <v>3254</v>
      </c>
      <c r="G29">
        <v>54.54</v>
      </c>
      <c r="I29" s="17" t="s">
        <v>341</v>
      </c>
      <c r="J29" s="17">
        <v>-23.963472461355252</v>
      </c>
      <c r="K29" s="17">
        <v>2.8693956708948556</v>
      </c>
      <c r="L29" s="17">
        <v>-8.3514005072301352</v>
      </c>
      <c r="M29" s="17">
        <v>1.7980256129381053E-11</v>
      </c>
      <c r="N29" s="17">
        <v>-29.709338181361346</v>
      </c>
      <c r="O29" s="17">
        <v>-18.217606741349158</v>
      </c>
      <c r="P29" s="17">
        <v>-29.709338181361346</v>
      </c>
      <c r="Q29" s="17">
        <v>-18.217606741349158</v>
      </c>
    </row>
    <row r="30" spans="1:17" ht="15.75" thickBot="1" x14ac:dyDescent="0.3">
      <c r="A30">
        <v>127</v>
      </c>
      <c r="B30">
        <v>90</v>
      </c>
      <c r="C30">
        <v>40.189788634068861</v>
      </c>
      <c r="D30">
        <v>90</v>
      </c>
      <c r="E30">
        <v>0</v>
      </c>
      <c r="F30">
        <v>4159</v>
      </c>
      <c r="G30">
        <v>66.900000000000006</v>
      </c>
      <c r="I30" s="18" t="s">
        <v>301</v>
      </c>
      <c r="J30" s="18">
        <v>2.4590607075134739E-2</v>
      </c>
      <c r="K30" s="18">
        <v>4.2383528007350655E-4</v>
      </c>
      <c r="L30" s="18">
        <v>58.019254722895987</v>
      </c>
      <c r="M30" s="18">
        <v>2.1707533011292529E-52</v>
      </c>
      <c r="N30" s="18">
        <v>2.3741891566358614E-2</v>
      </c>
      <c r="O30" s="18">
        <v>2.5439322583910864E-2</v>
      </c>
      <c r="P30" s="18">
        <v>2.3741891566358614E-2</v>
      </c>
      <c r="Q30" s="18">
        <v>2.5439322583910864E-2</v>
      </c>
    </row>
    <row r="31" spans="1:17" x14ac:dyDescent="0.25">
      <c r="A31">
        <v>129</v>
      </c>
      <c r="B31">
        <v>27</v>
      </c>
      <c r="C31">
        <v>33.582919799629636</v>
      </c>
      <c r="D31">
        <v>27</v>
      </c>
      <c r="E31">
        <v>27</v>
      </c>
      <c r="F31">
        <v>5672</v>
      </c>
      <c r="G31">
        <v>112.23</v>
      </c>
    </row>
    <row r="32" spans="1:17" x14ac:dyDescent="0.25">
      <c r="A32">
        <v>130</v>
      </c>
      <c r="B32">
        <v>73</v>
      </c>
      <c r="C32">
        <v>32.614935687351561</v>
      </c>
      <c r="D32">
        <v>73</v>
      </c>
      <c r="E32">
        <v>24</v>
      </c>
      <c r="F32">
        <v>4681</v>
      </c>
      <c r="G32">
        <v>71.790000000000006</v>
      </c>
    </row>
    <row r="33" spans="1:11" x14ac:dyDescent="0.25">
      <c r="A33">
        <v>131</v>
      </c>
      <c r="B33">
        <v>0</v>
      </c>
      <c r="C33">
        <v>22.263999452524509</v>
      </c>
      <c r="D33">
        <v>0</v>
      </c>
      <c r="E33">
        <v>0</v>
      </c>
      <c r="F33">
        <v>2979</v>
      </c>
      <c r="G33">
        <v>31.81</v>
      </c>
    </row>
    <row r="34" spans="1:11" x14ac:dyDescent="0.25">
      <c r="A34">
        <v>132</v>
      </c>
      <c r="B34">
        <v>50</v>
      </c>
      <c r="C34">
        <v>45</v>
      </c>
      <c r="D34">
        <v>50</v>
      </c>
      <c r="E34">
        <v>27</v>
      </c>
      <c r="F34">
        <v>4244</v>
      </c>
      <c r="G34">
        <v>72.59</v>
      </c>
      <c r="I34" t="s">
        <v>352</v>
      </c>
    </row>
    <row r="35" spans="1:11" ht="15.75" thickBot="1" x14ac:dyDescent="0.3">
      <c r="A35">
        <v>133</v>
      </c>
      <c r="B35">
        <v>16</v>
      </c>
      <c r="C35">
        <v>19.657842579461015</v>
      </c>
      <c r="D35">
        <v>16</v>
      </c>
      <c r="E35">
        <v>16</v>
      </c>
      <c r="F35">
        <v>3950</v>
      </c>
      <c r="G35">
        <v>85.44</v>
      </c>
    </row>
    <row r="36" spans="1:11" x14ac:dyDescent="0.25">
      <c r="A36">
        <v>134</v>
      </c>
      <c r="B36">
        <v>97</v>
      </c>
      <c r="C36">
        <v>28.485899048114732</v>
      </c>
      <c r="D36">
        <v>71</v>
      </c>
      <c r="E36">
        <v>25</v>
      </c>
      <c r="F36">
        <v>3759</v>
      </c>
      <c r="G36">
        <v>45.44</v>
      </c>
      <c r="I36" s="19" t="s">
        <v>353</v>
      </c>
      <c r="J36" s="19" t="s">
        <v>354</v>
      </c>
      <c r="K36" s="19" t="s">
        <v>355</v>
      </c>
    </row>
    <row r="37" spans="1:11" x14ac:dyDescent="0.25">
      <c r="A37">
        <v>136</v>
      </c>
      <c r="B37">
        <v>63</v>
      </c>
      <c r="C37">
        <v>29.519667317575703</v>
      </c>
      <c r="D37">
        <v>63</v>
      </c>
      <c r="E37">
        <v>16</v>
      </c>
      <c r="F37">
        <v>3695</v>
      </c>
      <c r="G37">
        <v>67.25</v>
      </c>
      <c r="I37" s="17">
        <v>1</v>
      </c>
      <c r="J37" s="17">
        <v>76.120298334443135</v>
      </c>
      <c r="K37" s="17">
        <v>-21.580298334443135</v>
      </c>
    </row>
    <row r="38" spans="1:11" x14ac:dyDescent="0.25">
      <c r="A38">
        <v>138</v>
      </c>
      <c r="B38">
        <v>6</v>
      </c>
      <c r="C38">
        <v>34</v>
      </c>
      <c r="D38">
        <v>5</v>
      </c>
      <c r="E38">
        <v>5</v>
      </c>
      <c r="F38">
        <v>3610</v>
      </c>
      <c r="G38">
        <v>45.44</v>
      </c>
      <c r="I38" s="17">
        <v>2</v>
      </c>
      <c r="J38" s="17">
        <v>158.32669778661858</v>
      </c>
      <c r="K38" s="17">
        <v>-12.436697786618595</v>
      </c>
    </row>
    <row r="39" spans="1:11" x14ac:dyDescent="0.25">
      <c r="A39">
        <v>146</v>
      </c>
      <c r="B39">
        <v>23</v>
      </c>
      <c r="C39">
        <v>33.002977347978174</v>
      </c>
      <c r="D39">
        <v>23</v>
      </c>
      <c r="E39">
        <v>16</v>
      </c>
      <c r="F39">
        <v>4889</v>
      </c>
      <c r="G39">
        <v>85.44</v>
      </c>
      <c r="I39" s="17">
        <v>3</v>
      </c>
      <c r="J39" s="17">
        <v>280.07479341561066</v>
      </c>
      <c r="K39" s="17">
        <v>17.935206584389334</v>
      </c>
    </row>
    <row r="40" spans="1:11" x14ac:dyDescent="0.25">
      <c r="A40">
        <v>147</v>
      </c>
      <c r="B40">
        <v>16</v>
      </c>
      <c r="C40">
        <v>52.718274465530953</v>
      </c>
      <c r="D40">
        <v>13</v>
      </c>
      <c r="E40">
        <v>13</v>
      </c>
      <c r="F40">
        <v>6731</v>
      </c>
      <c r="G40">
        <v>156.01</v>
      </c>
      <c r="I40" s="17">
        <v>4</v>
      </c>
      <c r="J40" s="17">
        <v>55.906819318682381</v>
      </c>
      <c r="K40" s="17">
        <v>-17.746819318682384</v>
      </c>
    </row>
    <row r="41" spans="1:11" x14ac:dyDescent="0.25">
      <c r="A41">
        <v>150</v>
      </c>
      <c r="B41">
        <v>69</v>
      </c>
      <c r="C41">
        <v>40.189788634068861</v>
      </c>
      <c r="D41">
        <v>191</v>
      </c>
      <c r="E41">
        <v>17</v>
      </c>
      <c r="F41">
        <v>2268</v>
      </c>
      <c r="G41">
        <v>31.81</v>
      </c>
      <c r="I41" s="17">
        <v>5</v>
      </c>
      <c r="J41" s="17">
        <v>356.77289688295593</v>
      </c>
      <c r="K41" s="17">
        <v>-6.1428968829559381</v>
      </c>
    </row>
    <row r="42" spans="1:11" x14ac:dyDescent="0.25">
      <c r="A42">
        <v>154</v>
      </c>
      <c r="B42">
        <v>25</v>
      </c>
      <c r="C42">
        <v>33.582919799629636</v>
      </c>
      <c r="D42">
        <v>25</v>
      </c>
      <c r="E42">
        <v>25</v>
      </c>
      <c r="F42">
        <v>4133</v>
      </c>
      <c r="G42">
        <v>54.54</v>
      </c>
      <c r="I42" s="17">
        <v>6</v>
      </c>
      <c r="J42" s="17">
        <v>4.7337659953269871</v>
      </c>
      <c r="K42" s="17">
        <v>22.536234004673013</v>
      </c>
    </row>
    <row r="43" spans="1:11" x14ac:dyDescent="0.25">
      <c r="A43">
        <v>157</v>
      </c>
      <c r="B43">
        <v>64</v>
      </c>
      <c r="C43">
        <v>32.614935687351561</v>
      </c>
      <c r="D43">
        <v>64</v>
      </c>
      <c r="E43">
        <v>34</v>
      </c>
      <c r="F43">
        <v>4373</v>
      </c>
      <c r="G43">
        <v>72.72</v>
      </c>
      <c r="I43" s="17">
        <v>7</v>
      </c>
      <c r="J43" s="17">
        <v>57.701933635167222</v>
      </c>
      <c r="K43" s="17">
        <v>-3.1619336351672231</v>
      </c>
    </row>
    <row r="44" spans="1:11" x14ac:dyDescent="0.25">
      <c r="A44">
        <v>159</v>
      </c>
      <c r="B44">
        <v>87</v>
      </c>
      <c r="C44">
        <v>22.263999452524509</v>
      </c>
      <c r="D44">
        <v>14</v>
      </c>
      <c r="E44">
        <v>14</v>
      </c>
      <c r="F44">
        <v>3198</v>
      </c>
      <c r="G44">
        <v>40.9</v>
      </c>
      <c r="I44" s="17">
        <v>8</v>
      </c>
      <c r="J44" s="17">
        <v>-8.4713900040203658</v>
      </c>
      <c r="K44" s="17">
        <v>11.891390004020366</v>
      </c>
    </row>
    <row r="45" spans="1:11" x14ac:dyDescent="0.25">
      <c r="A45">
        <v>160</v>
      </c>
      <c r="B45">
        <v>7</v>
      </c>
      <c r="C45">
        <v>45</v>
      </c>
      <c r="D45">
        <v>7</v>
      </c>
      <c r="E45">
        <v>7</v>
      </c>
      <c r="F45">
        <v>3125</v>
      </c>
      <c r="G45">
        <v>72.72</v>
      </c>
      <c r="I45" s="17">
        <v>9</v>
      </c>
      <c r="J45" s="17">
        <v>124.85888155736018</v>
      </c>
      <c r="K45" s="17">
        <v>-3.0688815573601715</v>
      </c>
    </row>
    <row r="46" spans="1:11" x14ac:dyDescent="0.25">
      <c r="A46">
        <v>161</v>
      </c>
      <c r="B46">
        <v>3</v>
      </c>
      <c r="C46">
        <v>22.962384249054928</v>
      </c>
      <c r="D46">
        <v>3</v>
      </c>
      <c r="E46">
        <v>3</v>
      </c>
      <c r="F46">
        <v>8667</v>
      </c>
      <c r="G46">
        <v>209.96</v>
      </c>
      <c r="I46" s="17">
        <v>10</v>
      </c>
      <c r="J46" s="17">
        <v>244.24627890713936</v>
      </c>
      <c r="K46" s="17">
        <v>8.7637210928606351</v>
      </c>
    </row>
    <row r="47" spans="1:11" x14ac:dyDescent="0.25">
      <c r="A47">
        <v>165</v>
      </c>
      <c r="B47">
        <v>25</v>
      </c>
      <c r="C47">
        <v>18</v>
      </c>
      <c r="D47">
        <v>25</v>
      </c>
      <c r="E47">
        <v>25</v>
      </c>
      <c r="F47">
        <v>1327</v>
      </c>
      <c r="G47">
        <v>5.99</v>
      </c>
      <c r="I47" s="17">
        <v>11</v>
      </c>
      <c r="J47" s="17">
        <v>268.39425505492164</v>
      </c>
      <c r="K47" s="17">
        <v>-4.6842550549216639</v>
      </c>
    </row>
    <row r="48" spans="1:11" x14ac:dyDescent="0.25">
      <c r="A48">
        <v>166</v>
      </c>
      <c r="B48">
        <v>24</v>
      </c>
      <c r="C48">
        <v>40.676262648885903</v>
      </c>
      <c r="D48">
        <v>24</v>
      </c>
      <c r="E48">
        <v>14</v>
      </c>
      <c r="F48">
        <v>4242</v>
      </c>
      <c r="G48">
        <v>81.81</v>
      </c>
      <c r="I48" s="17">
        <v>12</v>
      </c>
      <c r="J48" s="17">
        <v>39.480293792492375</v>
      </c>
      <c r="K48" s="17">
        <v>9.3097062075076238</v>
      </c>
    </row>
    <row r="49" spans="1:11" x14ac:dyDescent="0.25">
      <c r="A49">
        <v>171</v>
      </c>
      <c r="B49">
        <v>54</v>
      </c>
      <c r="C49">
        <v>39.992692929311623</v>
      </c>
      <c r="D49">
        <v>54</v>
      </c>
      <c r="E49">
        <v>14</v>
      </c>
      <c r="F49">
        <v>13351</v>
      </c>
      <c r="G49">
        <v>290.95999999999998</v>
      </c>
      <c r="I49" s="17">
        <v>13</v>
      </c>
      <c r="J49" s="17">
        <v>41.299998716052343</v>
      </c>
      <c r="K49" s="17">
        <v>4.1500012839476597</v>
      </c>
    </row>
    <row r="50" spans="1:11" x14ac:dyDescent="0.25">
      <c r="A50">
        <v>172</v>
      </c>
      <c r="B50">
        <v>3</v>
      </c>
      <c r="C50">
        <v>19.556113360228828</v>
      </c>
      <c r="D50">
        <v>3</v>
      </c>
      <c r="E50">
        <v>3</v>
      </c>
      <c r="F50">
        <v>8456</v>
      </c>
      <c r="G50">
        <v>208.76</v>
      </c>
      <c r="I50" s="17">
        <v>14</v>
      </c>
      <c r="J50" s="17">
        <v>39.381931364191836</v>
      </c>
      <c r="K50" s="17">
        <v>20.598068635808161</v>
      </c>
    </row>
    <row r="51" spans="1:11" x14ac:dyDescent="0.25">
      <c r="A51">
        <v>174</v>
      </c>
      <c r="B51">
        <v>4</v>
      </c>
      <c r="C51">
        <v>21.831323703314496</v>
      </c>
      <c r="D51">
        <v>4</v>
      </c>
      <c r="E51">
        <v>4</v>
      </c>
      <c r="F51">
        <v>4221</v>
      </c>
      <c r="G51">
        <v>72.72</v>
      </c>
      <c r="I51" s="17">
        <v>15</v>
      </c>
      <c r="J51" s="17">
        <v>36.086790016123778</v>
      </c>
      <c r="K51" s="17">
        <v>-17.916790016123777</v>
      </c>
    </row>
    <row r="52" spans="1:11" x14ac:dyDescent="0.25">
      <c r="A52">
        <v>175</v>
      </c>
      <c r="B52">
        <v>1</v>
      </c>
      <c r="C52">
        <v>53</v>
      </c>
      <c r="D52">
        <v>1</v>
      </c>
      <c r="E52">
        <v>1</v>
      </c>
      <c r="F52">
        <v>6657</v>
      </c>
      <c r="G52">
        <v>163.62</v>
      </c>
      <c r="I52" s="17">
        <v>16</v>
      </c>
      <c r="J52" s="17">
        <v>25.857097472867729</v>
      </c>
      <c r="K52" s="17">
        <v>15.54290252713227</v>
      </c>
    </row>
    <row r="53" spans="1:11" x14ac:dyDescent="0.25">
      <c r="A53">
        <v>178</v>
      </c>
      <c r="B53">
        <v>51</v>
      </c>
      <c r="C53">
        <v>27</v>
      </c>
      <c r="D53">
        <v>51</v>
      </c>
      <c r="E53">
        <v>5</v>
      </c>
      <c r="F53">
        <v>3643</v>
      </c>
      <c r="G53">
        <v>63.47</v>
      </c>
      <c r="I53" s="17">
        <v>17</v>
      </c>
      <c r="J53" s="17">
        <v>71.89071391751996</v>
      </c>
      <c r="K53" s="17">
        <v>-8.2607139175199578</v>
      </c>
    </row>
    <row r="54" spans="1:11" x14ac:dyDescent="0.25">
      <c r="A54">
        <v>179</v>
      </c>
      <c r="B54">
        <v>51</v>
      </c>
      <c r="C54">
        <v>40.924326372881644</v>
      </c>
      <c r="D54">
        <v>51</v>
      </c>
      <c r="E54">
        <v>3</v>
      </c>
      <c r="F54">
        <v>18512</v>
      </c>
      <c r="G54">
        <v>428.78</v>
      </c>
      <c r="I54" s="17">
        <v>18</v>
      </c>
      <c r="J54" s="17">
        <v>30.06209128271577</v>
      </c>
      <c r="K54" s="17">
        <v>15.377908717284228</v>
      </c>
    </row>
    <row r="55" spans="1:11" x14ac:dyDescent="0.25">
      <c r="A55">
        <v>181</v>
      </c>
      <c r="B55">
        <v>11</v>
      </c>
      <c r="C55">
        <v>28</v>
      </c>
      <c r="D55">
        <v>11</v>
      </c>
      <c r="E55">
        <v>11</v>
      </c>
      <c r="F55">
        <v>2711</v>
      </c>
      <c r="G55">
        <v>53.66</v>
      </c>
      <c r="I55" s="17">
        <v>19</v>
      </c>
      <c r="J55" s="17">
        <v>31.980158634576277</v>
      </c>
      <c r="K55" s="17">
        <v>22.559841365423722</v>
      </c>
    </row>
    <row r="56" spans="1:11" x14ac:dyDescent="0.25">
      <c r="A56">
        <v>183</v>
      </c>
      <c r="B56">
        <v>1</v>
      </c>
      <c r="C56">
        <v>22.962384249054928</v>
      </c>
      <c r="D56">
        <v>1</v>
      </c>
      <c r="E56">
        <v>1</v>
      </c>
      <c r="F56">
        <v>3731</v>
      </c>
      <c r="G56">
        <v>89.68</v>
      </c>
      <c r="I56" s="17">
        <v>20</v>
      </c>
      <c r="J56" s="17">
        <v>256.07436091027915</v>
      </c>
      <c r="K56" s="17">
        <v>-12.694360910279158</v>
      </c>
    </row>
    <row r="57" spans="1:11" x14ac:dyDescent="0.25">
      <c r="A57">
        <v>184</v>
      </c>
      <c r="B57">
        <v>19</v>
      </c>
      <c r="C57">
        <v>18</v>
      </c>
      <c r="D57">
        <v>19</v>
      </c>
      <c r="E57">
        <v>6</v>
      </c>
      <c r="F57">
        <v>23774</v>
      </c>
      <c r="G57">
        <v>565.91</v>
      </c>
      <c r="I57" s="17">
        <v>21</v>
      </c>
      <c r="J57" s="17">
        <v>8.8403973768744919</v>
      </c>
      <c r="K57" s="17">
        <v>1.9696026231255086</v>
      </c>
    </row>
    <row r="58" spans="1:11" x14ac:dyDescent="0.25">
      <c r="A58">
        <v>185</v>
      </c>
      <c r="B58">
        <v>92</v>
      </c>
      <c r="C58">
        <v>40.676262648885903</v>
      </c>
      <c r="D58">
        <v>77</v>
      </c>
      <c r="E58">
        <v>23</v>
      </c>
      <c r="F58">
        <v>3439</v>
      </c>
      <c r="G58">
        <v>45.45</v>
      </c>
      <c r="I58" s="17">
        <v>22</v>
      </c>
      <c r="J58" s="17">
        <v>1.0697655411319111</v>
      </c>
      <c r="K58" s="17">
        <v>12.280234458868089</v>
      </c>
    </row>
    <row r="59" spans="1:11" x14ac:dyDescent="0.25">
      <c r="A59">
        <v>189</v>
      </c>
      <c r="B59">
        <v>51</v>
      </c>
      <c r="C59">
        <v>39.992692929311623</v>
      </c>
      <c r="D59">
        <v>51</v>
      </c>
      <c r="E59">
        <v>15</v>
      </c>
      <c r="F59">
        <v>3864</v>
      </c>
      <c r="G59">
        <v>80.89</v>
      </c>
      <c r="I59" s="17">
        <v>23</v>
      </c>
      <c r="J59" s="17">
        <v>79.907251824013883</v>
      </c>
      <c r="K59" s="17">
        <v>19.322748175986121</v>
      </c>
    </row>
    <row r="60" spans="1:11" x14ac:dyDescent="0.25">
      <c r="A60">
        <v>191</v>
      </c>
      <c r="B60">
        <v>51</v>
      </c>
      <c r="C60">
        <v>19.556113360228828</v>
      </c>
      <c r="D60">
        <v>51</v>
      </c>
      <c r="E60">
        <v>26</v>
      </c>
      <c r="F60">
        <v>3244</v>
      </c>
      <c r="G60">
        <v>45.44</v>
      </c>
      <c r="I60" s="17">
        <v>24</v>
      </c>
      <c r="J60" s="17">
        <v>64.759437865730888</v>
      </c>
      <c r="K60" s="17">
        <v>2.3605621342691165</v>
      </c>
    </row>
    <row r="61" spans="1:11" x14ac:dyDescent="0.25">
      <c r="I61" s="17">
        <v>25</v>
      </c>
      <c r="J61" s="17">
        <v>46.464026201830634</v>
      </c>
      <c r="K61" s="17">
        <v>-10.124026201830631</v>
      </c>
    </row>
    <row r="62" spans="1:11" x14ac:dyDescent="0.25">
      <c r="I62" s="17">
        <v>26</v>
      </c>
      <c r="J62" s="17">
        <v>29.422735498762265</v>
      </c>
      <c r="K62" s="17">
        <v>-19.352735498762264</v>
      </c>
    </row>
    <row r="63" spans="1:11" x14ac:dyDescent="0.25">
      <c r="I63" s="17">
        <v>27</v>
      </c>
      <c r="J63" s="17">
        <v>34.414628735014617</v>
      </c>
      <c r="K63" s="17">
        <v>1.9453712649853827</v>
      </c>
    </row>
    <row r="64" spans="1:11" x14ac:dyDescent="0.25">
      <c r="I64" s="17">
        <v>28</v>
      </c>
      <c r="J64" s="17">
        <v>56.054362961133194</v>
      </c>
      <c r="K64" s="17">
        <v>-1.5143629611331946</v>
      </c>
    </row>
    <row r="65" spans="9:11" x14ac:dyDescent="0.25">
      <c r="I65" s="17">
        <v>29</v>
      </c>
      <c r="J65" s="17">
        <v>78.308862364130121</v>
      </c>
      <c r="K65" s="17">
        <v>-11.408862364130115</v>
      </c>
    </row>
    <row r="66" spans="9:11" x14ac:dyDescent="0.25">
      <c r="I66" s="17">
        <v>30</v>
      </c>
      <c r="J66" s="17">
        <v>115.51445086880898</v>
      </c>
      <c r="K66" s="17">
        <v>-3.2844508688089746</v>
      </c>
    </row>
    <row r="67" spans="9:11" x14ac:dyDescent="0.25">
      <c r="I67" s="17">
        <v>31</v>
      </c>
      <c r="J67" s="17">
        <v>91.145159257350457</v>
      </c>
      <c r="K67" s="17">
        <v>-19.355159257350451</v>
      </c>
    </row>
    <row r="68" spans="9:11" x14ac:dyDescent="0.25">
      <c r="I68" s="17">
        <v>32</v>
      </c>
      <c r="J68" s="17">
        <v>49.29194601547114</v>
      </c>
      <c r="K68" s="17">
        <v>-17.481946015471141</v>
      </c>
    </row>
    <row r="69" spans="9:11" x14ac:dyDescent="0.25">
      <c r="I69" s="17">
        <v>33</v>
      </c>
      <c r="J69" s="17">
        <v>80.399063965516575</v>
      </c>
      <c r="K69" s="17">
        <v>-7.8090639655165717</v>
      </c>
    </row>
    <row r="70" spans="9:11" x14ac:dyDescent="0.25">
      <c r="I70" s="17">
        <v>34</v>
      </c>
      <c r="J70" s="17">
        <v>73.16942548542697</v>
      </c>
      <c r="K70" s="17">
        <v>12.270574514573028</v>
      </c>
    </row>
    <row r="71" spans="9:11" x14ac:dyDescent="0.25">
      <c r="I71" s="17">
        <v>35</v>
      </c>
      <c r="J71" s="17">
        <v>68.47261953407623</v>
      </c>
      <c r="K71" s="17">
        <v>-23.032619534076233</v>
      </c>
    </row>
    <row r="72" spans="9:11" x14ac:dyDescent="0.25">
      <c r="I72" s="17">
        <v>36</v>
      </c>
      <c r="J72" s="17">
        <v>66.898820681267608</v>
      </c>
      <c r="K72" s="17">
        <v>0.35117931873239172</v>
      </c>
    </row>
    <row r="73" spans="9:11" x14ac:dyDescent="0.25">
      <c r="I73" s="17">
        <v>37</v>
      </c>
      <c r="J73" s="17">
        <v>64.808619079881154</v>
      </c>
      <c r="K73" s="17">
        <v>-19.368619079881157</v>
      </c>
    </row>
    <row r="74" spans="9:11" x14ac:dyDescent="0.25">
      <c r="I74" s="17">
        <v>38</v>
      </c>
      <c r="J74" s="17">
        <v>96.260005528978482</v>
      </c>
      <c r="K74" s="17">
        <v>-10.820005528978484</v>
      </c>
    </row>
    <row r="75" spans="9:11" x14ac:dyDescent="0.25">
      <c r="I75" s="17">
        <v>39</v>
      </c>
      <c r="J75" s="17">
        <v>141.55590376137667</v>
      </c>
      <c r="K75" s="17">
        <v>14.454096238623322</v>
      </c>
    </row>
    <row r="76" spans="9:11" x14ac:dyDescent="0.25">
      <c r="I76" s="17">
        <v>40</v>
      </c>
      <c r="J76" s="17">
        <v>31.808024385050338</v>
      </c>
      <c r="K76" s="17">
        <v>1.9756149496608089E-3</v>
      </c>
    </row>
    <row r="77" spans="9:11" x14ac:dyDescent="0.25">
      <c r="I77" s="17">
        <v>41</v>
      </c>
      <c r="J77" s="17">
        <v>77.66950658017663</v>
      </c>
      <c r="K77" s="17">
        <v>-23.129506580176631</v>
      </c>
    </row>
    <row r="78" spans="9:11" x14ac:dyDescent="0.25">
      <c r="I78" s="17">
        <v>42</v>
      </c>
      <c r="J78" s="17">
        <v>83.571252278208959</v>
      </c>
      <c r="K78" s="17">
        <v>-10.85125227820896</v>
      </c>
    </row>
    <row r="79" spans="9:11" x14ac:dyDescent="0.25">
      <c r="I79" s="17">
        <v>43</v>
      </c>
      <c r="J79" s="17">
        <v>54.677288964925637</v>
      </c>
      <c r="K79" s="17">
        <v>-13.777288964925638</v>
      </c>
    </row>
    <row r="80" spans="9:11" x14ac:dyDescent="0.25">
      <c r="I80" s="17">
        <v>44</v>
      </c>
      <c r="J80" s="17">
        <v>52.88217464844081</v>
      </c>
      <c r="K80" s="17">
        <v>19.837825351559189</v>
      </c>
    </row>
    <row r="81" spans="9:11" x14ac:dyDescent="0.25">
      <c r="I81" s="17">
        <v>45</v>
      </c>
      <c r="J81" s="17">
        <v>189.16331905883754</v>
      </c>
      <c r="K81" s="17">
        <v>20.796680941162464</v>
      </c>
    </row>
    <row r="82" spans="9:11" x14ac:dyDescent="0.25">
      <c r="I82" s="17">
        <v>46</v>
      </c>
      <c r="J82" s="17">
        <v>8.6682631273485455</v>
      </c>
      <c r="K82" s="17">
        <v>-2.6782631273485453</v>
      </c>
    </row>
    <row r="83" spans="9:11" x14ac:dyDescent="0.25">
      <c r="I83" s="17">
        <v>47</v>
      </c>
      <c r="J83" s="17">
        <v>80.349882751366309</v>
      </c>
      <c r="K83" s="17">
        <v>1.4601172486336935</v>
      </c>
    </row>
    <row r="84" spans="9:11" x14ac:dyDescent="0.25">
      <c r="I84" s="17">
        <v>48</v>
      </c>
      <c r="J84" s="17">
        <v>304.34572259876865</v>
      </c>
      <c r="K84" s="17">
        <v>-13.385722598768666</v>
      </c>
    </row>
    <row r="85" spans="9:11" x14ac:dyDescent="0.25">
      <c r="I85" s="17">
        <v>49</v>
      </c>
      <c r="J85" s="17">
        <v>183.97470096598411</v>
      </c>
      <c r="K85" s="17">
        <v>24.785299034015878</v>
      </c>
    </row>
    <row r="86" spans="9:11" x14ac:dyDescent="0.25">
      <c r="I86" s="17">
        <v>50</v>
      </c>
      <c r="J86" s="17">
        <v>79.833480002788477</v>
      </c>
      <c r="K86" s="17">
        <v>-7.1134800027884779</v>
      </c>
    </row>
    <row r="87" spans="9:11" x14ac:dyDescent="0.25">
      <c r="I87" s="17">
        <v>51</v>
      </c>
      <c r="J87" s="17">
        <v>139.73619883781672</v>
      </c>
      <c r="K87" s="17">
        <v>23.883801162183289</v>
      </c>
    </row>
    <row r="88" spans="9:11" x14ac:dyDescent="0.25">
      <c r="I88" s="17">
        <v>52</v>
      </c>
      <c r="J88" s="17">
        <v>65.620109113360598</v>
      </c>
      <c r="K88" s="17">
        <v>-2.1501091133605996</v>
      </c>
    </row>
    <row r="89" spans="9:11" x14ac:dyDescent="0.25">
      <c r="I89" s="17">
        <v>53</v>
      </c>
      <c r="J89" s="17">
        <v>431.25784571353904</v>
      </c>
      <c r="K89" s="17">
        <v>-2.4778457135390681</v>
      </c>
    </row>
    <row r="90" spans="9:11" x14ac:dyDescent="0.25">
      <c r="I90" s="17">
        <v>54</v>
      </c>
      <c r="J90" s="17">
        <v>42.701663319335026</v>
      </c>
      <c r="K90" s="17">
        <v>10.958336680664971</v>
      </c>
    </row>
    <row r="91" spans="9:11" x14ac:dyDescent="0.25">
      <c r="I91" s="17">
        <v>55</v>
      </c>
      <c r="J91" s="17">
        <v>67.784082535972459</v>
      </c>
      <c r="K91" s="17">
        <v>21.895917464027548</v>
      </c>
    </row>
    <row r="92" spans="9:11" x14ac:dyDescent="0.25">
      <c r="I92" s="17">
        <v>56</v>
      </c>
      <c r="J92" s="17">
        <v>560.65362014289803</v>
      </c>
      <c r="K92" s="17">
        <v>5.2563798571019333</v>
      </c>
    </row>
    <row r="93" spans="9:11" x14ac:dyDescent="0.25">
      <c r="I93" s="17">
        <v>57</v>
      </c>
      <c r="J93" s="17">
        <v>60.60362527003312</v>
      </c>
      <c r="K93" s="17">
        <v>-15.153625270033118</v>
      </c>
    </row>
    <row r="94" spans="9:11" x14ac:dyDescent="0.25">
      <c r="I94" s="17">
        <v>58</v>
      </c>
      <c r="J94" s="17">
        <v>71.054633276965376</v>
      </c>
      <c r="K94" s="17">
        <v>9.8353667230346247</v>
      </c>
    </row>
    <row r="95" spans="9:11" ht="15.75" thickBot="1" x14ac:dyDescent="0.3">
      <c r="I95" s="18">
        <v>59</v>
      </c>
      <c r="J95" s="18">
        <v>55.808456890381848</v>
      </c>
      <c r="K95" s="18">
        <v>-10.36845689038185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2c514c1-a717-4087-be06-d40d2070ad52}" enabled="0" method="" siteId="{82c514c1-a717-4087-be06-d40d2070ad5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Pivot1</vt:lpstr>
      <vt:lpstr>Pivot2</vt:lpstr>
      <vt:lpstr>Sheet1</vt:lpstr>
      <vt:lpstr>2 Samples</vt:lpstr>
      <vt:lpstr>Paired</vt:lpstr>
      <vt:lpstr>Correlation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 Karunaratne</dc:creator>
  <cp:lastModifiedBy>Bryan Johns</cp:lastModifiedBy>
  <dcterms:created xsi:type="dcterms:W3CDTF">2025-02-19T11:20:27Z</dcterms:created>
  <dcterms:modified xsi:type="dcterms:W3CDTF">2025-12-19T10:59:17Z</dcterms:modified>
</cp:coreProperties>
</file>