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br\Data-Analyst\Projects\macquarie-excel-skills\Statistics_and_Data_Analysis_with_Excel\Practice\"/>
    </mc:Choice>
  </mc:AlternateContent>
  <xr:revisionPtr revIDLastSave="0" documentId="13_ncr:1_{5616B320-2907-4A08-9EBE-AEA96F8D5F5E}" xr6:coauthVersionLast="47" xr6:coauthVersionMax="47" xr10:uidLastSave="{00000000-0000-0000-0000-000000000000}"/>
  <bookViews>
    <workbookView xWindow="3660" yWindow="1905" windowWidth="21600" windowHeight="11835" activeTab="5" xr2:uid="{CDAA961D-D360-4EB9-940C-65B94DAF6D2D}"/>
  </bookViews>
  <sheets>
    <sheet name="Cities" sheetId="2" r:id="rId1"/>
    <sheet name="Agents" sheetId="3" r:id="rId2"/>
    <sheet name="Burger Sales" sheetId="4" r:id="rId3"/>
    <sheet name="Grocery Sales" sheetId="5" r:id="rId4"/>
    <sheet name="MQD" sheetId="6" r:id="rId5"/>
    <sheet name="Food Retail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6" l="1"/>
  <c r="C5" i="6" s="1"/>
  <c r="C6" i="6" s="1"/>
  <c r="C7" i="6" s="1"/>
  <c r="C8" i="6" s="1"/>
  <c r="C9" i="6" s="1"/>
  <c r="C10" i="6" s="1"/>
  <c r="C11" i="6" s="1"/>
  <c r="C12" i="6" s="1"/>
  <c r="C13" i="6" s="1"/>
  <c r="C14" i="6" s="1"/>
  <c r="C15" i="6" s="1"/>
  <c r="C16" i="6" s="1"/>
  <c r="C17" i="6" s="1"/>
  <c r="C18" i="6" s="1"/>
  <c r="C19" i="6" s="1"/>
  <c r="C20" i="6" s="1"/>
  <c r="C21" i="6" s="1"/>
  <c r="C22" i="6" s="1"/>
  <c r="C23" i="6" s="1"/>
  <c r="C24" i="6" s="1"/>
  <c r="C25" i="6" s="1"/>
  <c r="C26" i="6" s="1"/>
  <c r="C27" i="6" s="1"/>
  <c r="C28" i="6" s="1"/>
  <c r="C29" i="6" s="1"/>
  <c r="C30" i="6" s="1"/>
  <c r="C31" i="6" s="1"/>
  <c r="C32" i="6" s="1"/>
  <c r="C33" i="6" s="1"/>
  <c r="C34" i="6" s="1"/>
  <c r="C35" i="6" s="1"/>
  <c r="C36" i="6" s="1"/>
  <c r="C3" i="6"/>
</calcChain>
</file>

<file path=xl/sharedStrings.xml><?xml version="1.0" encoding="utf-8"?>
<sst xmlns="http://schemas.openxmlformats.org/spreadsheetml/2006/main" count="200" uniqueCount="94">
  <si>
    <t>London</t>
  </si>
  <si>
    <t>Hong Kong</t>
  </si>
  <si>
    <t>Sydney</t>
  </si>
  <si>
    <t>The monthly spend for the month of June across a sample of customers</t>
  </si>
  <si>
    <t>Abigail</t>
  </si>
  <si>
    <t>Ahmed</t>
  </si>
  <si>
    <t>Scenario 2</t>
  </si>
  <si>
    <t>Scenario 1</t>
  </si>
  <si>
    <t>Store</t>
  </si>
  <si>
    <t>Price ($)</t>
  </si>
  <si>
    <t>Advertising ($ '000s)</t>
  </si>
  <si>
    <t>Sales (units '000s)</t>
  </si>
  <si>
    <t>Macquarie Park</t>
  </si>
  <si>
    <t>North Ryde</t>
  </si>
  <si>
    <t>Marsfield</t>
  </si>
  <si>
    <t>Eastwood</t>
  </si>
  <si>
    <t>Epping</t>
  </si>
  <si>
    <t>Denistone</t>
  </si>
  <si>
    <t>Lane Cove</t>
  </si>
  <si>
    <t>Killara</t>
  </si>
  <si>
    <t>Gordon</t>
  </si>
  <si>
    <t>Lindfield</t>
  </si>
  <si>
    <t>Carlingford</t>
  </si>
  <si>
    <t>Beecroft</t>
  </si>
  <si>
    <t>Cheltenham</t>
  </si>
  <si>
    <t>Ryde</t>
  </si>
  <si>
    <t xml:space="preserve">Advertising (X) ($ '000s) </t>
  </si>
  <si>
    <t>Dummy</t>
  </si>
  <si>
    <t>City</t>
  </si>
  <si>
    <t>Berwick</t>
  </si>
  <si>
    <t>Melbourne</t>
  </si>
  <si>
    <t>Bundoora</t>
  </si>
  <si>
    <t>Chadstone</t>
  </si>
  <si>
    <t>Claremont Meadows</t>
  </si>
  <si>
    <t>Glen Waverley</t>
  </si>
  <si>
    <t>Glenwood</t>
  </si>
  <si>
    <t>Date</t>
  </si>
  <si>
    <t>MQD</t>
  </si>
  <si>
    <t>Food Sales (m)</t>
  </si>
  <si>
    <t>Grocery Sales (Y) ($ m)</t>
  </si>
  <si>
    <t>Burger Sales across a chain of stores</t>
  </si>
  <si>
    <t>Grocery Sales across a chain of stores</t>
  </si>
  <si>
    <t>The MQD exchange rate agains the USD</t>
  </si>
  <si>
    <t>Food Retail across Australia over time</t>
  </si>
  <si>
    <t>The number of VIP customers (signed up) across two cities by two agents across a single week</t>
  </si>
  <si>
    <t>The number of new customers (signed up) across two cities by two employees across each working day of a week</t>
  </si>
  <si>
    <t>Anova: Single Factor</t>
  </si>
  <si>
    <t>SUMMARY</t>
  </si>
  <si>
    <t>Groups</t>
  </si>
  <si>
    <t>Count</t>
  </si>
  <si>
    <t>Sum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</si>
  <si>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</si>
  <si>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</si>
  <si>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</si>
  <si>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</si>
  <si>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</si>
  <si>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</si>
  <si>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</si>
  <si>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</si>
  <si>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</si>
  <si>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</si>
  <si>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</si>
  <si>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</si>
  <si>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</si>
  <si>
    <t>Anova: Two-Factor With Replication</t>
  </si>
  <si>
    <t>Sample</t>
  </si>
  <si>
    <t>Columns</t>
  </si>
  <si>
    <t>Interaction</t>
  </si>
  <si>
    <t>Within</t>
  </si>
  <si>
    <t>Anova: Two-Factor Without Replication</t>
  </si>
  <si>
    <t>Rows</t>
  </si>
  <si>
    <t>Error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</si>
  <si>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</si>
  <si>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</si>
  <si>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</si>
  <si>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</si>
  <si>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</si>
  <si>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</si>
  <si>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</si>
  <si>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Regression</t>
  </si>
  <si>
    <t>Residual</t>
  </si>
  <si>
    <t>Intercept</t>
  </si>
  <si>
    <t>Significance F</t>
  </si>
  <si>
    <t>Coefficients</t>
  </si>
  <si>
    <t>t Stat</t>
  </si>
  <si>
    <t>Lower 95%</t>
  </si>
  <si>
    <t>Upper 95%</t>
  </si>
  <si>
    <t>Lower 95.0%</t>
  </si>
  <si>
    <t>Upper 95.0%</t>
  </si>
  <si>
    <t>RESIDUAL OUTPUT</t>
  </si>
  <si>
    <t>Observation</t>
  </si>
  <si>
    <t>Predicted Sales (units '000s)</t>
  </si>
  <si>
    <t>Residuals</t>
  </si>
  <si>
    <t>Predicted Grocery Sales (Y) ($ 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</si>
</sst>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dd\ mmm\ yyyy"/>
    <numFmt numFmtId="166" formatCode="0.000"/>
    <numFmt numFmtId="167" formatCode="mmm\-yyyy"/>
    <numFmt numFmtId="168" formatCode="0;\-0;0;@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9"/>
      <name val="Arial"/>
      <family val="2"/>
    </font>
    <font>
      <sz val="8"/>
      <name val="Arial"/>
      <family val="2"/>
    </font>
    <font>
      <i/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18"/>
      </bottom>
      <diagonal/>
    </border>
  </borders>
  <cellStyleXfs count="2">
    <xf numFmtId="0" fontId="0" fillId="0" borderId="0"/>
    <xf numFmtId="0" fontId="2" fillId="0" borderId="0"/>
  </cellStyleXfs>
  <cellXfs count="40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2" borderId="3" xfId="0" applyFont="1" applyFill="1" applyBorder="1"/>
    <xf numFmtId="0" fontId="0" fillId="2" borderId="4" xfId="0" applyFill="1" applyBorder="1"/>
    <xf numFmtId="0" fontId="0" fillId="2" borderId="5" xfId="0" applyFill="1" applyBorder="1"/>
    <xf numFmtId="0" fontId="1" fillId="0" borderId="0" xfId="0" applyFont="1"/>
    <xf numFmtId="0" fontId="1" fillId="0" borderId="6" xfId="0" applyFont="1" applyBorder="1"/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1" fillId="0" borderId="7" xfId="0" applyFont="1" applyBorder="1"/>
    <xf numFmtId="0" fontId="0" fillId="0" borderId="7" xfId="0" applyBorder="1"/>
    <xf numFmtId="0" fontId="0" fillId="0" borderId="8" xfId="0" applyBorder="1"/>
    <xf numFmtId="0" fontId="0" fillId="0" borderId="3" xfId="0" applyBorder="1"/>
    <xf numFmtId="0" fontId="0" fillId="0" borderId="5" xfId="0" applyBorder="1"/>
    <xf numFmtId="0" fontId="1" fillId="0" borderId="9" xfId="0" applyFont="1" applyBorder="1"/>
    <xf numFmtId="0" fontId="0" fillId="0" borderId="9" xfId="0" applyBorder="1"/>
    <xf numFmtId="0" fontId="0" fillId="0" borderId="10" xfId="0" applyBorder="1"/>
    <xf numFmtId="0" fontId="1" fillId="0" borderId="0" xfId="0" applyFont="1" applyAlignment="1">
      <alignment wrapText="1"/>
    </xf>
    <xf numFmtId="164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2" fillId="0" borderId="0" xfId="1"/>
    <xf numFmtId="165" fontId="2" fillId="0" borderId="0" xfId="1" applyNumberFormat="1"/>
    <xf numFmtId="166" fontId="2" fillId="0" borderId="0" xfId="1" applyNumberFormat="1"/>
    <xf numFmtId="166" fontId="0" fillId="0" borderId="0" xfId="0" applyNumberFormat="1"/>
    <xf numFmtId="167" fontId="3" fillId="0" borderId="0" xfId="0" applyNumberFormat="1" applyFont="1" applyAlignment="1">
      <alignment horizontal="right"/>
    </xf>
    <xf numFmtId="168" fontId="4" fillId="0" borderId="0" xfId="0" applyNumberFormat="1" applyFont="1"/>
    <xf numFmtId="0" fontId="0" fillId="2" borderId="0" xfId="0" applyFill="1"/>
    <xf numFmtId="0" fontId="1" fillId="2" borderId="0" xfId="0" applyFont="1" applyFill="1"/>
    <xf numFmtId="0" fontId="2" fillId="2" borderId="0" xfId="1" applyFill="1"/>
    <xf numFmtId="0" fontId="1" fillId="0" borderId="11" xfId="0" applyFont="1" applyBorder="1"/>
    <xf numFmtId="0" fontId="0" fillId="0" borderId="0" xfId="0" applyFill="1" applyBorder="1" applyAlignment="1"/>
    <xf numFmtId="0" fontId="0" fillId="0" borderId="12" xfId="0" applyFill="1" applyBorder="1" applyAlignment="1"/>
    <xf numFmtId="0" fontId="5" fillId="0" borderId="13" xfId="0" applyFont="1" applyFill="1" applyBorder="1" applyAlignment="1">
      <alignment horizontal="center"/>
    </xf>
    <xf numFmtId="0" fontId="6" fillId="0" borderId="14" xfId="0" applyFont="1" applyFill="1" applyBorder="1" applyAlignment="1">
      <alignment horizontal="right"/>
    </xf>
    <xf numFmtId="0" fontId="5" fillId="0" borderId="13" xfId="0" applyFont="1" applyFill="1" applyBorder="1" applyAlignment="1">
      <alignment horizontal="centerContinuous"/>
    </xf>
  </cellXfs>
  <cellStyles count="2">
    <cellStyle name="Normal" xfId="0" builtinId="0"/>
    <cellStyle name="Normal 2" xfId="1" xr:uid="{A68EB95C-541C-4426-A60E-BDC8B64A69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MQD!$B$1</c:f>
              <c:strCache>
                <c:ptCount val="1"/>
                <c:pt idx="0">
                  <c:v>MQD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MQD!$A$2:$A$42</c:f>
              <c:numCache>
                <c:formatCode>dd\ mmm\ yyyy</c:formatCode>
                <c:ptCount val="41"/>
                <c:pt idx="0">
                  <c:v>45929</c:v>
                </c:pt>
                <c:pt idx="1">
                  <c:v>45930</c:v>
                </c:pt>
                <c:pt idx="2">
                  <c:v>45931</c:v>
                </c:pt>
                <c:pt idx="3">
                  <c:v>45932</c:v>
                </c:pt>
                <c:pt idx="4">
                  <c:v>45933</c:v>
                </c:pt>
                <c:pt idx="5">
                  <c:v>45934</c:v>
                </c:pt>
                <c:pt idx="6">
                  <c:v>45935</c:v>
                </c:pt>
                <c:pt idx="7">
                  <c:v>45936</c:v>
                </c:pt>
                <c:pt idx="8">
                  <c:v>45937</c:v>
                </c:pt>
                <c:pt idx="9">
                  <c:v>45938</c:v>
                </c:pt>
                <c:pt idx="10">
                  <c:v>45939</c:v>
                </c:pt>
                <c:pt idx="11">
                  <c:v>45940</c:v>
                </c:pt>
                <c:pt idx="12">
                  <c:v>45941</c:v>
                </c:pt>
                <c:pt idx="13">
                  <c:v>45942</c:v>
                </c:pt>
                <c:pt idx="14">
                  <c:v>45943</c:v>
                </c:pt>
                <c:pt idx="15">
                  <c:v>45944</c:v>
                </c:pt>
                <c:pt idx="16">
                  <c:v>45945</c:v>
                </c:pt>
                <c:pt idx="17">
                  <c:v>45946</c:v>
                </c:pt>
                <c:pt idx="18">
                  <c:v>45947</c:v>
                </c:pt>
                <c:pt idx="19">
                  <c:v>45948</c:v>
                </c:pt>
                <c:pt idx="20">
                  <c:v>45949</c:v>
                </c:pt>
                <c:pt idx="21">
                  <c:v>45950</c:v>
                </c:pt>
                <c:pt idx="22">
                  <c:v>45951</c:v>
                </c:pt>
                <c:pt idx="23">
                  <c:v>45952</c:v>
                </c:pt>
                <c:pt idx="24">
                  <c:v>45953</c:v>
                </c:pt>
                <c:pt idx="25">
                  <c:v>45954</c:v>
                </c:pt>
                <c:pt idx="26">
                  <c:v>45955</c:v>
                </c:pt>
                <c:pt idx="27">
                  <c:v>45956</c:v>
                </c:pt>
                <c:pt idx="28">
                  <c:v>45957</c:v>
                </c:pt>
                <c:pt idx="29">
                  <c:v>45958</c:v>
                </c:pt>
                <c:pt idx="30">
                  <c:v>45959</c:v>
                </c:pt>
                <c:pt idx="31">
                  <c:v>45960</c:v>
                </c:pt>
                <c:pt idx="32">
                  <c:v>45961</c:v>
                </c:pt>
                <c:pt idx="33">
                  <c:v>45962</c:v>
                </c:pt>
                <c:pt idx="34">
                  <c:v>45963</c:v>
                </c:pt>
              </c:numCache>
            </c:numRef>
          </c:cat>
          <c:val>
            <c:numRef>
              <c:f>MQD!$B$2:$B$42</c:f>
              <c:numCache>
                <c:formatCode>0.000</c:formatCode>
                <c:ptCount val="41"/>
                <c:pt idx="0">
                  <c:v>0.59613105626323537</c:v>
                </c:pt>
                <c:pt idx="1">
                  <c:v>0.34915543995715986</c:v>
                </c:pt>
                <c:pt idx="2">
                  <c:v>0.23043056123044139</c:v>
                </c:pt>
                <c:pt idx="3">
                  <c:v>0.48397769248989625</c:v>
                </c:pt>
                <c:pt idx="4">
                  <c:v>0.47689588243400938</c:v>
                </c:pt>
                <c:pt idx="5">
                  <c:v>0.36739856722659425</c:v>
                </c:pt>
                <c:pt idx="6">
                  <c:v>0.42969518787093186</c:v>
                </c:pt>
                <c:pt idx="7">
                  <c:v>0.68757178924447848</c:v>
                </c:pt>
                <c:pt idx="8">
                  <c:v>0.38659027341654711</c:v>
                </c:pt>
                <c:pt idx="9">
                  <c:v>0.33636361025981998</c:v>
                </c:pt>
                <c:pt idx="10">
                  <c:v>0.51465820474901114</c:v>
                </c:pt>
                <c:pt idx="11">
                  <c:v>0.29540760281636652</c:v>
                </c:pt>
                <c:pt idx="12">
                  <c:v>0.4200678458766901</c:v>
                </c:pt>
                <c:pt idx="13">
                  <c:v>0.28835621107932369</c:v>
                </c:pt>
                <c:pt idx="14">
                  <c:v>0.33401541780577015</c:v>
                </c:pt>
                <c:pt idx="15">
                  <c:v>0.51761638556972334</c:v>
                </c:pt>
                <c:pt idx="16">
                  <c:v>0.4954579281873851</c:v>
                </c:pt>
                <c:pt idx="17">
                  <c:v>0.3053376022542868</c:v>
                </c:pt>
                <c:pt idx="18">
                  <c:v>0.25188531086551746</c:v>
                </c:pt>
                <c:pt idx="19">
                  <c:v>0.4269235781657727</c:v>
                </c:pt>
                <c:pt idx="20">
                  <c:v>0.22720481947456747</c:v>
                </c:pt>
                <c:pt idx="21">
                  <c:v>0.17474501729583575</c:v>
                </c:pt>
                <c:pt idx="22">
                  <c:v>0.5428896768469893</c:v>
                </c:pt>
                <c:pt idx="23">
                  <c:v>0.38459123259797218</c:v>
                </c:pt>
                <c:pt idx="24">
                  <c:v>0.20689052063270844</c:v>
                </c:pt>
                <c:pt idx="25">
                  <c:v>0.56283243027739727</c:v>
                </c:pt>
                <c:pt idx="26">
                  <c:v>0.29951396366088506</c:v>
                </c:pt>
                <c:pt idx="27">
                  <c:v>0.45497005349914577</c:v>
                </c:pt>
                <c:pt idx="28">
                  <c:v>0.26275248678849744</c:v>
                </c:pt>
                <c:pt idx="29">
                  <c:v>0.41564704765789862</c:v>
                </c:pt>
                <c:pt idx="30">
                  <c:v>0.23074248257796204</c:v>
                </c:pt>
                <c:pt idx="31">
                  <c:v>0.5640985693248679</c:v>
                </c:pt>
                <c:pt idx="32">
                  <c:v>0.29331241593714197</c:v>
                </c:pt>
                <c:pt idx="33">
                  <c:v>0.32624798270759159</c:v>
                </c:pt>
                <c:pt idx="34">
                  <c:v>0.1976668611668933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98-4A6B-AAEC-1763C4DB01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5354064"/>
        <c:axId val="1265344496"/>
      </c:lineChart>
      <c:dateAx>
        <c:axId val="1265354064"/>
        <c:scaling>
          <c:orientation val="minMax"/>
        </c:scaling>
        <c:delete val="0"/>
        <c:axPos val="b"/>
        <c:numFmt formatCode="dd\ mmm\ 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344496"/>
        <c:crosses val="autoZero"/>
        <c:auto val="1"/>
        <c:lblOffset val="100"/>
        <c:baseTimeUnit val="days"/>
      </c:dateAx>
      <c:valAx>
        <c:axId val="126534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354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Exponential Smoothing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Actual</c:v>
          </c:tx>
          <c:val>
            <c:numRef>
              <c:f>MQD!$B$2:$B$36</c:f>
              <c:numCache>
                <c:formatCode>0.000</c:formatCode>
                <c:ptCount val="35"/>
                <c:pt idx="0">
                  <c:v>0.59613105626323537</c:v>
                </c:pt>
                <c:pt idx="1">
                  <c:v>0.34915543995715986</c:v>
                </c:pt>
                <c:pt idx="2">
                  <c:v>0.23043056123044139</c:v>
                </c:pt>
                <c:pt idx="3">
                  <c:v>0.48397769248989625</c:v>
                </c:pt>
                <c:pt idx="4">
                  <c:v>0.47689588243400938</c:v>
                </c:pt>
                <c:pt idx="5">
                  <c:v>0.36739856722659425</c:v>
                </c:pt>
                <c:pt idx="6">
                  <c:v>0.42969518787093186</c:v>
                </c:pt>
                <c:pt idx="7">
                  <c:v>0.68757178924447848</c:v>
                </c:pt>
                <c:pt idx="8">
                  <c:v>0.38659027341654711</c:v>
                </c:pt>
                <c:pt idx="9">
                  <c:v>0.33636361025981998</c:v>
                </c:pt>
                <c:pt idx="10">
                  <c:v>0.51465820474901114</c:v>
                </c:pt>
                <c:pt idx="11">
                  <c:v>0.29540760281636652</c:v>
                </c:pt>
                <c:pt idx="12">
                  <c:v>0.4200678458766901</c:v>
                </c:pt>
                <c:pt idx="13">
                  <c:v>0.28835621107932369</c:v>
                </c:pt>
                <c:pt idx="14">
                  <c:v>0.33401541780577015</c:v>
                </c:pt>
                <c:pt idx="15">
                  <c:v>0.51761638556972334</c:v>
                </c:pt>
                <c:pt idx="16">
                  <c:v>0.4954579281873851</c:v>
                </c:pt>
                <c:pt idx="17">
                  <c:v>0.3053376022542868</c:v>
                </c:pt>
                <c:pt idx="18">
                  <c:v>0.25188531086551746</c:v>
                </c:pt>
                <c:pt idx="19">
                  <c:v>0.4269235781657727</c:v>
                </c:pt>
                <c:pt idx="20">
                  <c:v>0.22720481947456747</c:v>
                </c:pt>
                <c:pt idx="21">
                  <c:v>0.17474501729583575</c:v>
                </c:pt>
                <c:pt idx="22">
                  <c:v>0.5428896768469893</c:v>
                </c:pt>
                <c:pt idx="23">
                  <c:v>0.38459123259797218</c:v>
                </c:pt>
                <c:pt idx="24">
                  <c:v>0.20689052063270844</c:v>
                </c:pt>
                <c:pt idx="25">
                  <c:v>0.56283243027739727</c:v>
                </c:pt>
                <c:pt idx="26">
                  <c:v>0.29951396366088506</c:v>
                </c:pt>
                <c:pt idx="27">
                  <c:v>0.45497005349914577</c:v>
                </c:pt>
                <c:pt idx="28">
                  <c:v>0.26275248678849744</c:v>
                </c:pt>
                <c:pt idx="29">
                  <c:v>0.41564704765789862</c:v>
                </c:pt>
                <c:pt idx="30">
                  <c:v>0.23074248257796204</c:v>
                </c:pt>
                <c:pt idx="31">
                  <c:v>0.5640985693248679</c:v>
                </c:pt>
                <c:pt idx="32">
                  <c:v>0.29331241593714197</c:v>
                </c:pt>
                <c:pt idx="33">
                  <c:v>0.32624798270759159</c:v>
                </c:pt>
                <c:pt idx="34">
                  <c:v>0.1976668611668933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88-40D1-98F1-36829799ED7F}"/>
            </c:ext>
          </c:extLst>
        </c:ser>
        <c:ser>
          <c:idx val="1"/>
          <c:order val="1"/>
          <c:tx>
            <c:v>Forecast</c:v>
          </c:tx>
          <c:val>
            <c:numRef>
              <c:f>MQD!$C$2:$C$36</c:f>
              <c:numCache>
                <c:formatCode>0.000</c:formatCode>
                <c:ptCount val="35"/>
                <c:pt idx="0" formatCode="General">
                  <c:v>#N/A</c:v>
                </c:pt>
                <c:pt idx="1">
                  <c:v>0.59613105626323537</c:v>
                </c:pt>
                <c:pt idx="2" formatCode="General">
                  <c:v>0.37385300158776741</c:v>
                </c:pt>
                <c:pt idx="3" formatCode="General">
                  <c:v>0.24477280526617401</c:v>
                </c:pt>
                <c:pt idx="4" formatCode="General">
                  <c:v>0.46005720376752401</c:v>
                </c:pt>
                <c:pt idx="5" formatCode="General">
                  <c:v>0.47521201456736084</c:v>
                </c:pt>
                <c:pt idx="6" formatCode="General">
                  <c:v>0.37817991196067097</c:v>
                </c:pt>
                <c:pt idx="7" formatCode="General">
                  <c:v>0.42454366027990581</c:v>
                </c:pt>
                <c:pt idx="8" formatCode="General">
                  <c:v>0.66126897634802118</c:v>
                </c:pt>
                <c:pt idx="9" formatCode="General">
                  <c:v>0.41405814370969451</c:v>
                </c:pt>
                <c:pt idx="10" formatCode="General">
                  <c:v>0.34413306360480744</c:v>
                </c:pt>
                <c:pt idx="11" formatCode="General">
                  <c:v>0.49760569063459076</c:v>
                </c:pt>
                <c:pt idx="12" formatCode="General">
                  <c:v>0.31562741159818897</c:v>
                </c:pt>
                <c:pt idx="13" formatCode="General">
                  <c:v>0.40962380244884</c:v>
                </c:pt>
                <c:pt idx="14" formatCode="General">
                  <c:v>0.30048297021627535</c:v>
                </c:pt>
                <c:pt idx="15" formatCode="General">
                  <c:v>0.33066217304682066</c:v>
                </c:pt>
                <c:pt idx="16" formatCode="General">
                  <c:v>0.4989209643174331</c:v>
                </c:pt>
                <c:pt idx="17" formatCode="General">
                  <c:v>0.49580423180038991</c:v>
                </c:pt>
                <c:pt idx="18" formatCode="General">
                  <c:v>0.32438426520889707</c:v>
                </c:pt>
                <c:pt idx="19" formatCode="General">
                  <c:v>0.25913520629985543</c:v>
                </c:pt>
                <c:pt idx="20" formatCode="General">
                  <c:v>0.41014474097918097</c:v>
                </c:pt>
                <c:pt idx="21" formatCode="General">
                  <c:v>0.24549881162502885</c:v>
                </c:pt>
                <c:pt idx="22" formatCode="General">
                  <c:v>0.18182039672875508</c:v>
                </c:pt>
                <c:pt idx="23" formatCode="General">
                  <c:v>0.50678274883516583</c:v>
                </c:pt>
                <c:pt idx="24" formatCode="General">
                  <c:v>0.39681038422169157</c:v>
                </c:pt>
                <c:pt idx="25" formatCode="General">
                  <c:v>0.22588250699160675</c:v>
                </c:pt>
                <c:pt idx="26" formatCode="General">
                  <c:v>0.52913743794881829</c:v>
                </c:pt>
                <c:pt idx="27" formatCode="General">
                  <c:v>0.32247631108967839</c:v>
                </c:pt>
                <c:pt idx="28" formatCode="General">
                  <c:v>0.44172067925819902</c:v>
                </c:pt>
                <c:pt idx="29" formatCode="General">
                  <c:v>0.28064930603546762</c:v>
                </c:pt>
                <c:pt idx="30" formatCode="General">
                  <c:v>0.40214727349565554</c:v>
                </c:pt>
                <c:pt idx="31" formatCode="General">
                  <c:v>0.24788296166973139</c:v>
                </c:pt>
                <c:pt idx="32" formatCode="General">
                  <c:v>0.5324770085593542</c:v>
                </c:pt>
                <c:pt idx="33" formatCode="General">
                  <c:v>0.31722887519936321</c:v>
                </c:pt>
                <c:pt idx="34" formatCode="General">
                  <c:v>0.32534607195676879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E88-40D1-98F1-36829799ED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4850112"/>
        <c:axId val="1574859712"/>
      </c:lineChart>
      <c:catAx>
        <c:axId val="1574850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Data Point</a:t>
                </a:r>
              </a:p>
            </c:rich>
          </c:tx>
          <c:overlay val="0"/>
        </c:title>
        <c:majorTickMark val="out"/>
        <c:minorTickMark val="none"/>
        <c:tickLblPos val="nextTo"/>
        <c:crossAx val="1574859712"/>
        <c:crosses val="autoZero"/>
        <c:auto val="1"/>
        <c:lblAlgn val="ctr"/>
        <c:lblOffset val="100"/>
        <c:noMultiLvlLbl val="0"/>
      </c:catAx>
      <c:valAx>
        <c:axId val="1574859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crossAx val="157485011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Exponential Smoothing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Actual</c:v>
          </c:tx>
          <c:val>
            <c:numRef>
              <c:f>MQD!$B$2:$B$36</c:f>
              <c:numCache>
                <c:formatCode>0.000</c:formatCode>
                <c:ptCount val="35"/>
                <c:pt idx="0">
                  <c:v>0.59613105626323537</c:v>
                </c:pt>
                <c:pt idx="1">
                  <c:v>0.34915543995715986</c:v>
                </c:pt>
                <c:pt idx="2">
                  <c:v>0.23043056123044139</c:v>
                </c:pt>
                <c:pt idx="3">
                  <c:v>0.48397769248989625</c:v>
                </c:pt>
                <c:pt idx="4">
                  <c:v>0.47689588243400938</c:v>
                </c:pt>
                <c:pt idx="5">
                  <c:v>0.36739856722659425</c:v>
                </c:pt>
                <c:pt idx="6">
                  <c:v>0.42969518787093186</c:v>
                </c:pt>
                <c:pt idx="7">
                  <c:v>0.68757178924447848</c:v>
                </c:pt>
                <c:pt idx="8">
                  <c:v>0.38659027341654711</c:v>
                </c:pt>
                <c:pt idx="9">
                  <c:v>0.33636361025981998</c:v>
                </c:pt>
                <c:pt idx="10">
                  <c:v>0.51465820474901114</c:v>
                </c:pt>
                <c:pt idx="11">
                  <c:v>0.29540760281636652</c:v>
                </c:pt>
                <c:pt idx="12">
                  <c:v>0.4200678458766901</c:v>
                </c:pt>
                <c:pt idx="13">
                  <c:v>0.28835621107932369</c:v>
                </c:pt>
                <c:pt idx="14">
                  <c:v>0.33401541780577015</c:v>
                </c:pt>
                <c:pt idx="15">
                  <c:v>0.51761638556972334</c:v>
                </c:pt>
                <c:pt idx="16">
                  <c:v>0.4954579281873851</c:v>
                </c:pt>
                <c:pt idx="17">
                  <c:v>0.3053376022542868</c:v>
                </c:pt>
                <c:pt idx="18">
                  <c:v>0.25188531086551746</c:v>
                </c:pt>
                <c:pt idx="19">
                  <c:v>0.4269235781657727</c:v>
                </c:pt>
                <c:pt idx="20">
                  <c:v>0.22720481947456747</c:v>
                </c:pt>
                <c:pt idx="21">
                  <c:v>0.17474501729583575</c:v>
                </c:pt>
                <c:pt idx="22">
                  <c:v>0.5428896768469893</c:v>
                </c:pt>
                <c:pt idx="23">
                  <c:v>0.38459123259797218</c:v>
                </c:pt>
                <c:pt idx="24">
                  <c:v>0.20689052063270844</c:v>
                </c:pt>
                <c:pt idx="25">
                  <c:v>0.56283243027739727</c:v>
                </c:pt>
                <c:pt idx="26">
                  <c:v>0.29951396366088506</c:v>
                </c:pt>
                <c:pt idx="27">
                  <c:v>0.45497005349914577</c:v>
                </c:pt>
                <c:pt idx="28">
                  <c:v>0.26275248678849744</c:v>
                </c:pt>
                <c:pt idx="29">
                  <c:v>0.41564704765789862</c:v>
                </c:pt>
                <c:pt idx="30">
                  <c:v>0.23074248257796204</c:v>
                </c:pt>
                <c:pt idx="31">
                  <c:v>0.5640985693248679</c:v>
                </c:pt>
                <c:pt idx="32">
                  <c:v>0.29331241593714197</c:v>
                </c:pt>
                <c:pt idx="33">
                  <c:v>0.32624798270759159</c:v>
                </c:pt>
                <c:pt idx="34">
                  <c:v>0.1976668611668933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72-4E85-8F69-849438D2F78C}"/>
            </c:ext>
          </c:extLst>
        </c:ser>
        <c:ser>
          <c:idx val="1"/>
          <c:order val="1"/>
          <c:tx>
            <c:v>Forecast</c:v>
          </c:tx>
          <c:val>
            <c:numRef>
              <c:f>MQD!$C$2:$C$36</c:f>
              <c:numCache>
                <c:formatCode>0.000</c:formatCode>
                <c:ptCount val="35"/>
                <c:pt idx="0" formatCode="General">
                  <c:v>#N/A</c:v>
                </c:pt>
                <c:pt idx="1">
                  <c:v>0.59613105626323537</c:v>
                </c:pt>
                <c:pt idx="2" formatCode="General">
                  <c:v>0.37385300158776741</c:v>
                </c:pt>
                <c:pt idx="3" formatCode="General">
                  <c:v>0.24477280526617401</c:v>
                </c:pt>
                <c:pt idx="4" formatCode="General">
                  <c:v>0.46005720376752401</c:v>
                </c:pt>
                <c:pt idx="5" formatCode="General">
                  <c:v>0.47521201456736084</c:v>
                </c:pt>
                <c:pt idx="6" formatCode="General">
                  <c:v>0.37817991196067097</c:v>
                </c:pt>
                <c:pt idx="7" formatCode="General">
                  <c:v>0.42454366027990581</c:v>
                </c:pt>
                <c:pt idx="8" formatCode="General">
                  <c:v>0.66126897634802118</c:v>
                </c:pt>
                <c:pt idx="9" formatCode="General">
                  <c:v>0.41405814370969451</c:v>
                </c:pt>
                <c:pt idx="10" formatCode="General">
                  <c:v>0.34413306360480744</c:v>
                </c:pt>
                <c:pt idx="11" formatCode="General">
                  <c:v>0.49760569063459076</c:v>
                </c:pt>
                <c:pt idx="12" formatCode="General">
                  <c:v>0.31562741159818897</c:v>
                </c:pt>
                <c:pt idx="13" formatCode="General">
                  <c:v>0.40962380244884</c:v>
                </c:pt>
                <c:pt idx="14" formatCode="General">
                  <c:v>0.30048297021627535</c:v>
                </c:pt>
                <c:pt idx="15" formatCode="General">
                  <c:v>0.33066217304682066</c:v>
                </c:pt>
                <c:pt idx="16" formatCode="General">
                  <c:v>0.4989209643174331</c:v>
                </c:pt>
                <c:pt idx="17" formatCode="General">
                  <c:v>0.49580423180038991</c:v>
                </c:pt>
                <c:pt idx="18" formatCode="General">
                  <c:v>0.32438426520889707</c:v>
                </c:pt>
                <c:pt idx="19" formatCode="General">
                  <c:v>0.25913520629985543</c:v>
                </c:pt>
                <c:pt idx="20" formatCode="General">
                  <c:v>0.41014474097918097</c:v>
                </c:pt>
                <c:pt idx="21" formatCode="General">
                  <c:v>0.24549881162502885</c:v>
                </c:pt>
                <c:pt idx="22" formatCode="General">
                  <c:v>0.18182039672875508</c:v>
                </c:pt>
                <c:pt idx="23" formatCode="General">
                  <c:v>0.50678274883516583</c:v>
                </c:pt>
                <c:pt idx="24" formatCode="General">
                  <c:v>0.39681038422169157</c:v>
                </c:pt>
                <c:pt idx="25" formatCode="General">
                  <c:v>0.22588250699160675</c:v>
                </c:pt>
                <c:pt idx="26" formatCode="General">
                  <c:v>0.52913743794881829</c:v>
                </c:pt>
                <c:pt idx="27" formatCode="General">
                  <c:v>0.32247631108967839</c:v>
                </c:pt>
                <c:pt idx="28" formatCode="General">
                  <c:v>0.44172067925819902</c:v>
                </c:pt>
                <c:pt idx="29" formatCode="General">
                  <c:v>0.28064930603546762</c:v>
                </c:pt>
                <c:pt idx="30" formatCode="General">
                  <c:v>0.40214727349565554</c:v>
                </c:pt>
                <c:pt idx="31" formatCode="General">
                  <c:v>0.24788296166973139</c:v>
                </c:pt>
                <c:pt idx="32" formatCode="General">
                  <c:v>0.5324770085593542</c:v>
                </c:pt>
                <c:pt idx="33" formatCode="General">
                  <c:v>0.31722887519936321</c:v>
                </c:pt>
                <c:pt idx="34" formatCode="General">
                  <c:v>0.32534607195676879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972-4E85-8F69-849438D2F7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4876032"/>
        <c:axId val="1574869312"/>
      </c:lineChart>
      <c:catAx>
        <c:axId val="15748760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Data Point</a:t>
                </a:r>
              </a:p>
            </c:rich>
          </c:tx>
          <c:overlay val="0"/>
        </c:title>
        <c:majorTickMark val="out"/>
        <c:minorTickMark val="none"/>
        <c:tickLblPos val="nextTo"/>
        <c:crossAx val="1574869312"/>
        <c:crosses val="autoZero"/>
        <c:auto val="1"/>
        <c:lblAlgn val="ctr"/>
        <c:lblOffset val="100"/>
        <c:noMultiLvlLbl val="0"/>
      </c:catAx>
      <c:valAx>
        <c:axId val="15748693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crossAx val="157487603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'Food Retail'!$B$1</c:f>
              <c:strCache>
                <c:ptCount val="1"/>
                <c:pt idx="0">
                  <c:v>Food Sales (m)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'Food Retail'!$A$2:$A$76</c:f>
              <c:numCache>
                <c:formatCode>mmm\-yyyy</c:formatCode>
                <c:ptCount val="75"/>
                <c:pt idx="0">
                  <c:v>44105</c:v>
                </c:pt>
                <c:pt idx="1">
                  <c:v>44136</c:v>
                </c:pt>
                <c:pt idx="2">
                  <c:v>44166</c:v>
                </c:pt>
                <c:pt idx="3">
                  <c:v>44197</c:v>
                </c:pt>
                <c:pt idx="4">
                  <c:v>44228</c:v>
                </c:pt>
                <c:pt idx="5">
                  <c:v>44256</c:v>
                </c:pt>
                <c:pt idx="6">
                  <c:v>44287</c:v>
                </c:pt>
                <c:pt idx="7">
                  <c:v>44317</c:v>
                </c:pt>
                <c:pt idx="8">
                  <c:v>44348</c:v>
                </c:pt>
                <c:pt idx="9">
                  <c:v>44378</c:v>
                </c:pt>
                <c:pt idx="10">
                  <c:v>44409</c:v>
                </c:pt>
                <c:pt idx="11">
                  <c:v>44440</c:v>
                </c:pt>
                <c:pt idx="12">
                  <c:v>44470</c:v>
                </c:pt>
                <c:pt idx="13">
                  <c:v>44501</c:v>
                </c:pt>
                <c:pt idx="14">
                  <c:v>44531</c:v>
                </c:pt>
                <c:pt idx="15">
                  <c:v>44562</c:v>
                </c:pt>
                <c:pt idx="16">
                  <c:v>44593</c:v>
                </c:pt>
                <c:pt idx="17">
                  <c:v>44621</c:v>
                </c:pt>
                <c:pt idx="18">
                  <c:v>44652</c:v>
                </c:pt>
                <c:pt idx="19">
                  <c:v>44682</c:v>
                </c:pt>
                <c:pt idx="20">
                  <c:v>44713</c:v>
                </c:pt>
                <c:pt idx="21">
                  <c:v>44743</c:v>
                </c:pt>
                <c:pt idx="22">
                  <c:v>44774</c:v>
                </c:pt>
                <c:pt idx="23">
                  <c:v>44805</c:v>
                </c:pt>
                <c:pt idx="24">
                  <c:v>44835</c:v>
                </c:pt>
                <c:pt idx="25">
                  <c:v>44866</c:v>
                </c:pt>
                <c:pt idx="26">
                  <c:v>44896</c:v>
                </c:pt>
                <c:pt idx="27">
                  <c:v>44927</c:v>
                </c:pt>
                <c:pt idx="28">
                  <c:v>44958</c:v>
                </c:pt>
                <c:pt idx="29">
                  <c:v>44986</c:v>
                </c:pt>
                <c:pt idx="30">
                  <c:v>45017</c:v>
                </c:pt>
                <c:pt idx="31">
                  <c:v>45047</c:v>
                </c:pt>
                <c:pt idx="32">
                  <c:v>45078</c:v>
                </c:pt>
                <c:pt idx="33">
                  <c:v>45108</c:v>
                </c:pt>
                <c:pt idx="34">
                  <c:v>45139</c:v>
                </c:pt>
                <c:pt idx="35">
                  <c:v>45170</c:v>
                </c:pt>
                <c:pt idx="36">
                  <c:v>45200</c:v>
                </c:pt>
                <c:pt idx="37">
                  <c:v>45231</c:v>
                </c:pt>
                <c:pt idx="38">
                  <c:v>45261</c:v>
                </c:pt>
                <c:pt idx="39">
                  <c:v>45292</c:v>
                </c:pt>
                <c:pt idx="40">
                  <c:v>45323</c:v>
                </c:pt>
                <c:pt idx="41">
                  <c:v>45352</c:v>
                </c:pt>
                <c:pt idx="42">
                  <c:v>45383</c:v>
                </c:pt>
                <c:pt idx="43">
                  <c:v>45413</c:v>
                </c:pt>
                <c:pt idx="44">
                  <c:v>45444</c:v>
                </c:pt>
                <c:pt idx="45">
                  <c:v>45474</c:v>
                </c:pt>
                <c:pt idx="46">
                  <c:v>45505</c:v>
                </c:pt>
                <c:pt idx="47">
                  <c:v>45536</c:v>
                </c:pt>
                <c:pt idx="48">
                  <c:v>45566</c:v>
                </c:pt>
                <c:pt idx="49">
                  <c:v>45597</c:v>
                </c:pt>
                <c:pt idx="50">
                  <c:v>45627</c:v>
                </c:pt>
                <c:pt idx="51">
                  <c:v>45658</c:v>
                </c:pt>
                <c:pt idx="52">
                  <c:v>45689</c:v>
                </c:pt>
                <c:pt idx="53">
                  <c:v>45717</c:v>
                </c:pt>
                <c:pt idx="54">
                  <c:v>45748</c:v>
                </c:pt>
                <c:pt idx="55">
                  <c:v>45778</c:v>
                </c:pt>
                <c:pt idx="56">
                  <c:v>45809</c:v>
                </c:pt>
                <c:pt idx="57">
                  <c:v>45839</c:v>
                </c:pt>
                <c:pt idx="58">
                  <c:v>45870</c:v>
                </c:pt>
                <c:pt idx="59">
                  <c:v>45901</c:v>
                </c:pt>
                <c:pt idx="60">
                  <c:v>45931</c:v>
                </c:pt>
                <c:pt idx="61">
                  <c:v>45962</c:v>
                </c:pt>
                <c:pt idx="62">
                  <c:v>45992</c:v>
                </c:pt>
                <c:pt idx="63">
                  <c:v>46023</c:v>
                </c:pt>
                <c:pt idx="64">
                  <c:v>46054</c:v>
                </c:pt>
                <c:pt idx="65">
                  <c:v>46082</c:v>
                </c:pt>
                <c:pt idx="66">
                  <c:v>46113</c:v>
                </c:pt>
                <c:pt idx="67">
                  <c:v>46143</c:v>
                </c:pt>
                <c:pt idx="68">
                  <c:v>46174</c:v>
                </c:pt>
                <c:pt idx="69">
                  <c:v>46204</c:v>
                </c:pt>
                <c:pt idx="70">
                  <c:v>46235</c:v>
                </c:pt>
                <c:pt idx="71">
                  <c:v>46266</c:v>
                </c:pt>
                <c:pt idx="72">
                  <c:v>46296</c:v>
                </c:pt>
                <c:pt idx="73">
                  <c:v>46327</c:v>
                </c:pt>
                <c:pt idx="74">
                  <c:v>46357</c:v>
                </c:pt>
              </c:numCache>
            </c:numRef>
          </c:cat>
          <c:val>
            <c:numRef>
              <c:f>'Food Retail'!$B$2:$B$76</c:f>
              <c:numCache>
                <c:formatCode>0;\-0;0;@</c:formatCode>
                <c:ptCount val="75"/>
                <c:pt idx="0">
                  <c:v>8606.2999999999993</c:v>
                </c:pt>
                <c:pt idx="1">
                  <c:v>8569.9</c:v>
                </c:pt>
                <c:pt idx="2">
                  <c:v>9936</c:v>
                </c:pt>
                <c:pt idx="3">
                  <c:v>8534.7999999999993</c:v>
                </c:pt>
                <c:pt idx="4">
                  <c:v>8119.1</c:v>
                </c:pt>
                <c:pt idx="5">
                  <c:v>8736.6</c:v>
                </c:pt>
                <c:pt idx="6">
                  <c:v>8399.2000000000007</c:v>
                </c:pt>
                <c:pt idx="7">
                  <c:v>8450.7000000000007</c:v>
                </c:pt>
                <c:pt idx="8">
                  <c:v>8269.7000000000007</c:v>
                </c:pt>
                <c:pt idx="9">
                  <c:v>8500.4</c:v>
                </c:pt>
                <c:pt idx="10">
                  <c:v>8787.9</c:v>
                </c:pt>
                <c:pt idx="11">
                  <c:v>8582.7999999999993</c:v>
                </c:pt>
                <c:pt idx="12">
                  <c:v>8982</c:v>
                </c:pt>
                <c:pt idx="13">
                  <c:v>9048.5</c:v>
                </c:pt>
                <c:pt idx="14">
                  <c:v>10262.1</c:v>
                </c:pt>
                <c:pt idx="15">
                  <c:v>9067.6</c:v>
                </c:pt>
                <c:pt idx="16">
                  <c:v>8264.7999999999993</c:v>
                </c:pt>
                <c:pt idx="17">
                  <c:v>9272</c:v>
                </c:pt>
                <c:pt idx="18">
                  <c:v>8614.9</c:v>
                </c:pt>
                <c:pt idx="19">
                  <c:v>8876.5</c:v>
                </c:pt>
                <c:pt idx="20">
                  <c:v>8516.9</c:v>
                </c:pt>
                <c:pt idx="21">
                  <c:v>8855.7999999999993</c:v>
                </c:pt>
                <c:pt idx="22">
                  <c:v>9188.1</c:v>
                </c:pt>
                <c:pt idx="23">
                  <c:v>8839.1</c:v>
                </c:pt>
                <c:pt idx="24">
                  <c:v>9338.4</c:v>
                </c:pt>
                <c:pt idx="25">
                  <c:v>9345.9</c:v>
                </c:pt>
                <c:pt idx="26">
                  <c:v>10856.4</c:v>
                </c:pt>
                <c:pt idx="27">
                  <c:v>9701.6</c:v>
                </c:pt>
                <c:pt idx="28">
                  <c:v>8667.9</c:v>
                </c:pt>
                <c:pt idx="29">
                  <c:v>9524.6</c:v>
                </c:pt>
                <c:pt idx="30">
                  <c:v>9223.9</c:v>
                </c:pt>
                <c:pt idx="31">
                  <c:v>9386</c:v>
                </c:pt>
                <c:pt idx="32">
                  <c:v>8977.5</c:v>
                </c:pt>
                <c:pt idx="33">
                  <c:v>9393.2999999999993</c:v>
                </c:pt>
                <c:pt idx="34">
                  <c:v>9582.4</c:v>
                </c:pt>
                <c:pt idx="35">
                  <c:v>9353.7999999999993</c:v>
                </c:pt>
                <c:pt idx="36">
                  <c:v>9964.4</c:v>
                </c:pt>
                <c:pt idx="37">
                  <c:v>9911.1</c:v>
                </c:pt>
                <c:pt idx="38">
                  <c:v>11271.6</c:v>
                </c:pt>
                <c:pt idx="39">
                  <c:v>9955.4</c:v>
                </c:pt>
                <c:pt idx="40">
                  <c:v>9020</c:v>
                </c:pt>
                <c:pt idx="41">
                  <c:v>9926.5</c:v>
                </c:pt>
                <c:pt idx="42">
                  <c:v>9538</c:v>
                </c:pt>
                <c:pt idx="43">
                  <c:v>9707.1</c:v>
                </c:pt>
                <c:pt idx="44">
                  <c:v>9217.7999999999993</c:v>
                </c:pt>
                <c:pt idx="45">
                  <c:v>9718</c:v>
                </c:pt>
                <c:pt idx="46">
                  <c:v>9834.7999999999993</c:v>
                </c:pt>
                <c:pt idx="47">
                  <c:v>9645.7999999999993</c:v>
                </c:pt>
                <c:pt idx="48">
                  <c:v>10319.200000000001</c:v>
                </c:pt>
                <c:pt idx="49">
                  <c:v>10128.5</c:v>
                </c:pt>
                <c:pt idx="50">
                  <c:v>11731.2</c:v>
                </c:pt>
                <c:pt idx="51">
                  <c:v>10244.9</c:v>
                </c:pt>
                <c:pt idx="52">
                  <c:v>9556.9</c:v>
                </c:pt>
                <c:pt idx="53">
                  <c:v>10354</c:v>
                </c:pt>
                <c:pt idx="54">
                  <c:v>9727.9</c:v>
                </c:pt>
                <c:pt idx="55">
                  <c:v>9815.2000000000007</c:v>
                </c:pt>
                <c:pt idx="56">
                  <c:v>9516.5</c:v>
                </c:pt>
                <c:pt idx="57">
                  <c:v>9928.5</c:v>
                </c:pt>
                <c:pt idx="58">
                  <c:v>10041.9</c:v>
                </c:pt>
                <c:pt idx="59">
                  <c:v>10005.700000000001</c:v>
                </c:pt>
                <c:pt idx="60">
                  <c:v>10482.6</c:v>
                </c:pt>
                <c:pt idx="61">
                  <c:v>10435.700000000001</c:v>
                </c:pt>
                <c:pt idx="62">
                  <c:v>12230.1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72-49CB-8B89-8F2FA8A26D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4880352"/>
        <c:axId val="1574885152"/>
      </c:lineChart>
      <c:dateAx>
        <c:axId val="1574880352"/>
        <c:scaling>
          <c:orientation val="minMax"/>
        </c:scaling>
        <c:delete val="0"/>
        <c:axPos val="b"/>
        <c:numFmt formatCode="mmm\-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885152"/>
        <c:crosses val="autoZero"/>
        <c:auto val="1"/>
        <c:lblOffset val="100"/>
        <c:baseTimeUnit val="months"/>
      </c:dateAx>
      <c:valAx>
        <c:axId val="157488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;\-0;0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880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206375</xdr:colOff>
      <xdr:row>137</xdr:row>
      <xdr:rowOff>41275</xdr:rowOff>
    </xdr:from>
    <xdr:to>
      <xdr:col>12</xdr:col>
      <xdr:colOff>511175</xdr:colOff>
      <xdr:row>152</xdr:row>
      <xdr:rowOff>22225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695E3D-A18E-434C-A015-2AA2F25406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238125</xdr:colOff>
      <xdr:row>1</xdr:row>
      <xdr:rowOff>180975</xdr:rowOff>
    </xdr:from>
    <xdr:to>
      <xdr:col>10</xdr:col>
      <xdr:colOff>238125</xdr:colOff>
      <xdr:row>11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DD80D6C-E566-A3C3-BD32-6664578978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238125</xdr:colOff>
      <xdr:row>1</xdr:row>
      <xdr:rowOff>180974</xdr:rowOff>
    </xdr:from>
    <xdr:to>
      <xdr:col>13</xdr:col>
      <xdr:colOff>247650</xdr:colOff>
      <xdr:row>20</xdr:row>
      <xdr:rowOff>19049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ECAA9A8-4E10-692E-2EBF-3E64766545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29765</xdr:colOff>
      <xdr:row>2</xdr:row>
      <xdr:rowOff>98821</xdr:rowOff>
    </xdr:from>
    <xdr:to>
      <xdr:col>10</xdr:col>
      <xdr:colOff>17859</xdr:colOff>
      <xdr:row>16</xdr:row>
      <xdr:rowOff>175021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776907-62F6-2749-F658-7A1A8D7F07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756F4-A958-4C80-AE44-95B622873D5C}">
  <dimension ref="A1:K16"/>
  <sheetViews>
    <sheetView workbookViewId="0">
      <selection activeCell="D16" sqref="D16"/>
    </sheetView>
  </sheetViews>
  <sheetFormatPr defaultRowHeight="15" x14ac:dyDescent="0.25"/>
  <cols>
    <col min="1" max="3" width="13.5703125" customWidth="1"/>
    <col min="5" max="5" width="17.140625" customWidth="1"/>
  </cols>
  <sheetData>
    <row r="1" spans="1:11" ht="15.75" thickBot="1" x14ac:dyDescent="0.3">
      <c r="A1" s="1" t="s">
        <v>0</v>
      </c>
      <c r="B1" s="2" t="s">
        <v>1</v>
      </c>
      <c r="C1" s="2" t="s">
        <v>2</v>
      </c>
      <c r="E1" s="3" t="s">
        <v>3</v>
      </c>
      <c r="F1" s="4"/>
      <c r="G1" s="4"/>
      <c r="H1" s="4"/>
      <c r="I1" s="4"/>
      <c r="J1" s="4"/>
      <c r="K1" s="5"/>
    </row>
    <row r="2" spans="1:11" x14ac:dyDescent="0.25">
      <c r="A2">
        <v>52</v>
      </c>
      <c r="B2">
        <v>56</v>
      </c>
      <c r="C2">
        <v>65</v>
      </c>
      <c r="E2" t="s">
        <v>46</v>
      </c>
    </row>
    <row r="3" spans="1:11" x14ac:dyDescent="0.25">
      <c r="A3">
        <v>38</v>
      </c>
      <c r="B3">
        <v>49</v>
      </c>
      <c r="C3">
        <v>59</v>
      </c>
    </row>
    <row r="4" spans="1:11" ht="15.75" thickBot="1" x14ac:dyDescent="0.3">
      <c r="A4">
        <v>33</v>
      </c>
      <c r="B4">
        <v>34</v>
      </c>
      <c r="C4">
        <v>88</v>
      </c>
      <c r="E4" t="s">
        <v>47</v>
      </c>
    </row>
    <row r="5" spans="1:11" x14ac:dyDescent="0.25">
      <c r="A5">
        <v>34</v>
      </c>
      <c r="B5">
        <v>54</v>
      </c>
      <c r="C5">
        <v>62</v>
      </c>
      <c r="E5" s="37" t="s">
        <v>48</v>
      </c>
      <c r="F5" s="37" t="s">
        <v>49</v>
      </c>
      <c r="G5" s="37" t="s">
        <v>50</v>
      </c>
      <c r="H5" s="37" t="s">
        <v>51</v>
      </c>
      <c r="I5" s="37" t="s">
        <v>52</v>
      </c>
    </row>
    <row r="6" spans="1:11" x14ac:dyDescent="0.25">
      <c r="A6">
        <v>34</v>
      </c>
      <c r="B6">
        <v>53</v>
      </c>
      <c r="C6">
        <v>63</v>
      </c>
      <c r="E6" s="35" t="s">
        <v>0</v>
      </c>
      <c r="F6" s="35">
        <v>13</v>
      </c>
      <c r="G6" s="35">
        <v>554</v>
      </c>
      <c r="H6" s="35">
        <v>42.615384615384613</v>
      </c>
      <c r="I6" s="35">
        <v>69.089743589743492</v>
      </c>
    </row>
    <row r="7" spans="1:11" x14ac:dyDescent="0.25">
      <c r="A7">
        <v>43</v>
      </c>
      <c r="B7">
        <v>55</v>
      </c>
      <c r="C7">
        <v>72</v>
      </c>
      <c r="E7" s="35" t="s">
        <v>1</v>
      </c>
      <c r="F7" s="35">
        <v>12</v>
      </c>
      <c r="G7" s="35">
        <v>583</v>
      </c>
      <c r="H7" s="35">
        <v>48.583333333333336</v>
      </c>
      <c r="I7" s="35">
        <v>81.356060606060723</v>
      </c>
    </row>
    <row r="8" spans="1:11" ht="15.75" thickBot="1" x14ac:dyDescent="0.3">
      <c r="A8">
        <v>58</v>
      </c>
      <c r="B8">
        <v>62</v>
      </c>
      <c r="C8">
        <v>100</v>
      </c>
      <c r="E8" s="36" t="s">
        <v>2</v>
      </c>
      <c r="F8" s="36">
        <v>14</v>
      </c>
      <c r="G8" s="36">
        <v>881</v>
      </c>
      <c r="H8" s="36">
        <v>62.928571428571431</v>
      </c>
      <c r="I8" s="36">
        <v>466.68681318681325</v>
      </c>
    </row>
    <row r="9" spans="1:11" x14ac:dyDescent="0.25">
      <c r="A9">
        <v>39</v>
      </c>
      <c r="B9">
        <v>47</v>
      </c>
      <c r="C9">
        <v>69</v>
      </c>
    </row>
    <row r="10" spans="1:11" x14ac:dyDescent="0.25">
      <c r="A10">
        <v>38</v>
      </c>
      <c r="B10">
        <v>47</v>
      </c>
      <c r="C10">
        <v>64</v>
      </c>
    </row>
    <row r="11" spans="1:11" ht="15.75" thickBot="1" x14ac:dyDescent="0.3">
      <c r="A11">
        <v>37</v>
      </c>
      <c r="B11">
        <v>32</v>
      </c>
      <c r="C11">
        <v>21</v>
      </c>
      <c r="E11" t="s">
        <v>53</v>
      </c>
    </row>
    <row r="12" spans="1:11" x14ac:dyDescent="0.25">
      <c r="A12">
        <v>45</v>
      </c>
      <c r="B12">
        <v>41</v>
      </c>
      <c r="C12">
        <v>91</v>
      </c>
      <c r="E12" s="37" t="s">
        <v>54</v>
      </c>
      <c r="F12" s="37" t="s">
        <v>55</v>
      </c>
      <c r="G12" s="37" t="s">
        <v>56</v>
      </c>
      <c r="H12" s="37" t="s">
        <v>57</v>
      </c>
      <c r="I12" s="37" t="s">
        <v>58</v>
      </c>
      <c r="J12" s="37" t="s">
        <v>59</v>
      </c>
      <c r="K12" s="37" t="s">
        <v>60</v>
      </c>
    </row>
    <row r="13" spans="1:11" x14ac:dyDescent="0.25">
      <c r="A13">
        <v>54</v>
      </c>
      <c r="B13">
        <v>53</v>
      </c>
      <c r="C13">
        <v>47</v>
      </c>
      <c r="E13" s="35" t="s">
        <v>61</v>
      </c>
      <c r="F13" s="35">
        <v>2954.5137362637361</v>
      </c>
      <c r="G13" s="35">
        <v>2</v>
      </c>
      <c r="H13" s="35">
        <v>1477.256868131868</v>
      </c>
      <c r="I13" s="35">
        <v>6.8260529565791499</v>
      </c>
      <c r="J13" s="35">
        <v>3.0659629170887341E-3</v>
      </c>
      <c r="K13" s="35">
        <v>3.2594463061441079</v>
      </c>
    </row>
    <row r="14" spans="1:11" x14ac:dyDescent="0.25">
      <c r="A14">
        <v>49</v>
      </c>
      <c r="C14">
        <v>46</v>
      </c>
      <c r="E14" s="35" t="s">
        <v>62</v>
      </c>
      <c r="F14" s="35">
        <v>7790.9221611721605</v>
      </c>
      <c r="G14" s="35">
        <v>36</v>
      </c>
      <c r="H14" s="35">
        <v>216.41450447700447</v>
      </c>
      <c r="I14" s="35"/>
      <c r="J14" s="35"/>
      <c r="K14" s="35"/>
    </row>
    <row r="15" spans="1:11" x14ac:dyDescent="0.25">
      <c r="C15">
        <v>34</v>
      </c>
      <c r="E15" s="35"/>
      <c r="F15" s="35"/>
      <c r="G15" s="35"/>
      <c r="H15" s="35"/>
      <c r="I15" s="35"/>
      <c r="J15" s="35"/>
      <c r="K15" s="35"/>
    </row>
    <row r="16" spans="1:11" ht="15.75" thickBot="1" x14ac:dyDescent="0.3">
      <c r="E16" s="36" t="s">
        <v>63</v>
      </c>
      <c r="F16" s="36">
        <v>10745.435897435897</v>
      </c>
      <c r="G16" s="36">
        <v>38</v>
      </c>
      <c r="H16" s="36"/>
      <c r="I16" s="36"/>
      <c r="J16" s="36"/>
      <c r="K16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D65E3-0D29-403C-9497-2EBAE7339518}">
  <dimension ref="A1:R57"/>
  <sheetViews>
    <sheetView workbookViewId="0">
      <selection activeCell="E10" sqref="E10"/>
    </sheetView>
  </sheetViews>
  <sheetFormatPr defaultRowHeight="15" x14ac:dyDescent="0.25"/>
  <cols>
    <col min="1" max="1" width="12.42578125" style="6" customWidth="1"/>
    <col min="2" max="4" width="12.42578125" customWidth="1"/>
    <col min="5" max="5" width="14.7109375" customWidth="1"/>
    <col min="8" max="10" width="12.5703125" customWidth="1"/>
  </cols>
  <sheetData>
    <row r="1" spans="1:16" ht="15.75" thickBot="1" x14ac:dyDescent="0.3">
      <c r="B1" s="1" t="s">
        <v>0</v>
      </c>
      <c r="C1" s="2" t="s">
        <v>1</v>
      </c>
      <c r="G1" s="6"/>
      <c r="H1" s="1" t="s">
        <v>0</v>
      </c>
      <c r="I1" s="7" t="s">
        <v>1</v>
      </c>
    </row>
    <row r="2" spans="1:16" ht="15.75" thickBot="1" x14ac:dyDescent="0.3">
      <c r="A2" s="1" t="s">
        <v>4</v>
      </c>
      <c r="B2" s="8">
        <v>412</v>
      </c>
      <c r="C2" s="9">
        <v>460</v>
      </c>
      <c r="G2" s="1" t="s">
        <v>4</v>
      </c>
      <c r="H2" s="8">
        <v>17</v>
      </c>
      <c r="I2" s="10">
        <v>25</v>
      </c>
    </row>
    <row r="3" spans="1:16" ht="15.75" thickBot="1" x14ac:dyDescent="0.3">
      <c r="A3" s="11"/>
      <c r="B3" s="12">
        <v>413</v>
      </c>
      <c r="C3" s="13">
        <v>443</v>
      </c>
      <c r="G3" s="34" t="s">
        <v>5</v>
      </c>
      <c r="H3" s="14">
        <v>20</v>
      </c>
      <c r="I3" s="15">
        <v>26</v>
      </c>
    </row>
    <row r="4" spans="1:16" x14ac:dyDescent="0.25">
      <c r="A4" s="11"/>
      <c r="B4" s="12">
        <v>432</v>
      </c>
      <c r="C4" s="13">
        <v>476</v>
      </c>
    </row>
    <row r="5" spans="1:16" x14ac:dyDescent="0.25">
      <c r="A5" s="11"/>
      <c r="B5" s="12">
        <v>435</v>
      </c>
      <c r="C5" s="13">
        <v>458</v>
      </c>
    </row>
    <row r="6" spans="1:16" ht="15.75" thickBot="1" x14ac:dyDescent="0.3">
      <c r="A6" s="16"/>
      <c r="B6" s="17">
        <v>404</v>
      </c>
      <c r="C6" s="18">
        <v>407</v>
      </c>
      <c r="G6" s="6" t="s">
        <v>6</v>
      </c>
    </row>
    <row r="7" spans="1:16" ht="15.75" thickBot="1" x14ac:dyDescent="0.3">
      <c r="A7" s="1" t="s">
        <v>5</v>
      </c>
      <c r="B7" s="8">
        <v>404</v>
      </c>
      <c r="C7" s="9">
        <v>446</v>
      </c>
    </row>
    <row r="8" spans="1:16" ht="15.75" thickBot="1" x14ac:dyDescent="0.3">
      <c r="A8" s="11"/>
      <c r="B8" s="12">
        <v>405</v>
      </c>
      <c r="C8" s="13">
        <v>414</v>
      </c>
      <c r="G8" s="3" t="s">
        <v>44</v>
      </c>
      <c r="H8" s="31"/>
      <c r="I8" s="31"/>
      <c r="J8" s="31"/>
      <c r="K8" s="31"/>
      <c r="L8" s="31"/>
      <c r="M8" s="31"/>
      <c r="N8" s="31"/>
    </row>
    <row r="9" spans="1:16" x14ac:dyDescent="0.25">
      <c r="A9" s="11"/>
      <c r="B9" s="12">
        <v>481</v>
      </c>
      <c r="C9" s="13">
        <v>509</v>
      </c>
      <c r="L9" t="s">
        <v>69</v>
      </c>
    </row>
    <row r="10" spans="1:16" ht="15.75" thickBot="1" x14ac:dyDescent="0.3">
      <c r="A10" s="11"/>
      <c r="B10" s="12">
        <v>433</v>
      </c>
      <c r="C10" s="13">
        <v>477</v>
      </c>
    </row>
    <row r="11" spans="1:16" ht="15.75" thickBot="1" x14ac:dyDescent="0.3">
      <c r="A11" s="16"/>
      <c r="B11" s="17">
        <v>422</v>
      </c>
      <c r="C11" s="18">
        <v>460</v>
      </c>
      <c r="L11" s="37" t="s">
        <v>47</v>
      </c>
      <c r="M11" s="37" t="s">
        <v>49</v>
      </c>
      <c r="N11" s="37" t="s">
        <v>50</v>
      </c>
      <c r="O11" s="37" t="s">
        <v>51</v>
      </c>
      <c r="P11" s="37" t="s">
        <v>52</v>
      </c>
    </row>
    <row r="12" spans="1:16" x14ac:dyDescent="0.25">
      <c r="A12"/>
      <c r="L12" s="35" t="s">
        <v>4</v>
      </c>
      <c r="M12" s="35">
        <v>2</v>
      </c>
      <c r="N12" s="35">
        <v>42</v>
      </c>
      <c r="O12" s="35">
        <v>21</v>
      </c>
      <c r="P12" s="35">
        <v>32</v>
      </c>
    </row>
    <row r="13" spans="1:16" x14ac:dyDescent="0.25">
      <c r="A13"/>
      <c r="L13" s="35" t="s">
        <v>5</v>
      </c>
      <c r="M13" s="35">
        <v>2</v>
      </c>
      <c r="N13" s="35">
        <v>46</v>
      </c>
      <c r="O13" s="35">
        <v>23</v>
      </c>
      <c r="P13" s="35">
        <v>18</v>
      </c>
    </row>
    <row r="14" spans="1:16" x14ac:dyDescent="0.25">
      <c r="A14"/>
      <c r="L14" s="35"/>
      <c r="M14" s="35"/>
      <c r="N14" s="35"/>
      <c r="O14" s="35"/>
      <c r="P14" s="35"/>
    </row>
    <row r="15" spans="1:16" x14ac:dyDescent="0.25">
      <c r="A15"/>
      <c r="L15" s="35" t="s">
        <v>0</v>
      </c>
      <c r="M15" s="35">
        <v>2</v>
      </c>
      <c r="N15" s="35">
        <v>37</v>
      </c>
      <c r="O15" s="35">
        <v>18.5</v>
      </c>
      <c r="P15" s="35">
        <v>4.5</v>
      </c>
    </row>
    <row r="16" spans="1:16" ht="15.75" thickBot="1" x14ac:dyDescent="0.3">
      <c r="A16"/>
      <c r="L16" s="36" t="s">
        <v>1</v>
      </c>
      <c r="M16" s="36">
        <v>2</v>
      </c>
      <c r="N16" s="36">
        <v>51</v>
      </c>
      <c r="O16" s="36">
        <v>25.5</v>
      </c>
      <c r="P16" s="36">
        <v>0.5</v>
      </c>
    </row>
    <row r="18" spans="1:18" s="6" customFormat="1" x14ac:dyDescent="0.25">
      <c r="C18" s="6" t="s">
        <v>7</v>
      </c>
      <c r="L18"/>
      <c r="M18"/>
      <c r="N18"/>
      <c r="O18"/>
      <c r="P18"/>
      <c r="Q18"/>
      <c r="R18"/>
    </row>
    <row r="19" spans="1:18" ht="15.75" thickBot="1" x14ac:dyDescent="0.3">
      <c r="L19" t="s">
        <v>53</v>
      </c>
    </row>
    <row r="20" spans="1:18" ht="15.75" thickBot="1" x14ac:dyDescent="0.3">
      <c r="C20" s="3" t="s">
        <v>45</v>
      </c>
      <c r="D20" s="4"/>
      <c r="E20" s="4"/>
      <c r="F20" s="31"/>
      <c r="G20" s="31"/>
      <c r="H20" s="31"/>
      <c r="I20" s="31"/>
      <c r="J20" s="31"/>
      <c r="K20" s="31"/>
      <c r="L20" s="37" t="s">
        <v>54</v>
      </c>
      <c r="M20" s="37" t="s">
        <v>55</v>
      </c>
      <c r="N20" s="37" t="s">
        <v>56</v>
      </c>
      <c r="O20" s="37" t="s">
        <v>57</v>
      </c>
      <c r="P20" s="37" t="s">
        <v>58</v>
      </c>
      <c r="Q20" s="37" t="s">
        <v>59</v>
      </c>
      <c r="R20" s="37" t="s">
        <v>60</v>
      </c>
    </row>
    <row r="21" spans="1:18" x14ac:dyDescent="0.25">
      <c r="A21" t="s">
        <v>64</v>
      </c>
      <c r="L21" s="35" t="s">
        <v>70</v>
      </c>
      <c r="M21" s="35">
        <v>4</v>
      </c>
      <c r="N21" s="35">
        <v>1</v>
      </c>
      <c r="O21" s="35">
        <v>4</v>
      </c>
      <c r="P21" s="35">
        <v>4</v>
      </c>
      <c r="Q21" s="35">
        <v>0.29516723530086653</v>
      </c>
      <c r="R21" s="35">
        <v>161.44763879758855</v>
      </c>
    </row>
    <row r="22" spans="1:18" x14ac:dyDescent="0.25">
      <c r="A22"/>
      <c r="L22" s="35" t="s">
        <v>66</v>
      </c>
      <c r="M22" s="35">
        <v>49</v>
      </c>
      <c r="N22" s="35">
        <v>1</v>
      </c>
      <c r="O22" s="35">
        <v>49</v>
      </c>
      <c r="P22" s="35">
        <v>49</v>
      </c>
      <c r="Q22" s="35">
        <v>9.0334470601733094E-2</v>
      </c>
      <c r="R22" s="35">
        <v>161.44763879758855</v>
      </c>
    </row>
    <row r="23" spans="1:18" x14ac:dyDescent="0.25">
      <c r="A23" t="s">
        <v>47</v>
      </c>
      <c r="B23" t="s">
        <v>0</v>
      </c>
      <c r="C23" t="s">
        <v>1</v>
      </c>
      <c r="D23" t="s">
        <v>63</v>
      </c>
      <c r="L23" s="35" t="s">
        <v>71</v>
      </c>
      <c r="M23" s="35">
        <v>1</v>
      </c>
      <c r="N23" s="35">
        <v>1</v>
      </c>
      <c r="O23" s="35">
        <v>1</v>
      </c>
      <c r="P23" s="35"/>
      <c r="Q23" s="35"/>
      <c r="R23" s="35"/>
    </row>
    <row r="24" spans="1:18" ht="15.75" thickBot="1" x14ac:dyDescent="0.3">
      <c r="A24" s="38" t="s">
        <v>4</v>
      </c>
      <c r="B24" s="38"/>
      <c r="C24" s="38"/>
      <c r="D24" s="38"/>
      <c r="L24" s="35"/>
      <c r="M24" s="35"/>
      <c r="N24" s="35"/>
      <c r="O24" s="35"/>
      <c r="P24" s="35"/>
      <c r="Q24" s="35"/>
      <c r="R24" s="35"/>
    </row>
    <row r="25" spans="1:18" ht="15.75" thickBot="1" x14ac:dyDescent="0.3">
      <c r="A25" s="35" t="s">
        <v>49</v>
      </c>
      <c r="B25" s="35">
        <v>5</v>
      </c>
      <c r="C25" s="35">
        <v>5</v>
      </c>
      <c r="D25" s="35">
        <v>10</v>
      </c>
      <c r="L25" s="36" t="s">
        <v>63</v>
      </c>
      <c r="M25" s="36">
        <v>54</v>
      </c>
      <c r="N25" s="36">
        <v>3</v>
      </c>
      <c r="O25" s="36"/>
      <c r="P25" s="36"/>
      <c r="Q25" s="36"/>
      <c r="R25" s="36"/>
    </row>
    <row r="26" spans="1:18" x14ac:dyDescent="0.25">
      <c r="A26" s="35" t="s">
        <v>50</v>
      </c>
      <c r="B26" s="35">
        <v>2096</v>
      </c>
      <c r="C26" s="35">
        <v>2244</v>
      </c>
      <c r="D26" s="35">
        <v>4340</v>
      </c>
    </row>
    <row r="27" spans="1:18" x14ac:dyDescent="0.25">
      <c r="A27" s="35" t="s">
        <v>51</v>
      </c>
      <c r="B27" s="35">
        <v>419.2</v>
      </c>
      <c r="C27" s="35">
        <v>448.8</v>
      </c>
      <c r="D27" s="35">
        <v>434</v>
      </c>
    </row>
    <row r="28" spans="1:18" x14ac:dyDescent="0.25">
      <c r="A28" s="35" t="s">
        <v>52</v>
      </c>
      <c r="B28" s="35">
        <v>183.7</v>
      </c>
      <c r="C28" s="35">
        <v>682.69999999999993</v>
      </c>
      <c r="D28" s="35">
        <v>628.44444444444446</v>
      </c>
    </row>
    <row r="29" spans="1:18" x14ac:dyDescent="0.25">
      <c r="A29" s="35"/>
      <c r="B29" s="35"/>
      <c r="C29" s="35"/>
      <c r="D29" s="35"/>
    </row>
    <row r="30" spans="1:18" ht="15.75" thickBot="1" x14ac:dyDescent="0.3">
      <c r="A30" s="38" t="s">
        <v>5</v>
      </c>
      <c r="B30" s="38"/>
      <c r="C30" s="38"/>
      <c r="D30" s="38"/>
    </row>
    <row r="31" spans="1:18" x14ac:dyDescent="0.25">
      <c r="A31" s="35" t="s">
        <v>49</v>
      </c>
      <c r="B31" s="35">
        <v>5</v>
      </c>
      <c r="C31" s="35">
        <v>5</v>
      </c>
      <c r="D31" s="35">
        <v>10</v>
      </c>
    </row>
    <row r="32" spans="1:18" x14ac:dyDescent="0.25">
      <c r="A32" s="35" t="s">
        <v>50</v>
      </c>
      <c r="B32" s="35">
        <v>2145</v>
      </c>
      <c r="C32" s="35">
        <v>2306</v>
      </c>
      <c r="D32" s="35">
        <v>4451</v>
      </c>
    </row>
    <row r="33" spans="1:7" x14ac:dyDescent="0.25">
      <c r="A33" s="35" t="s">
        <v>51</v>
      </c>
      <c r="B33" s="35">
        <v>429</v>
      </c>
      <c r="C33" s="35">
        <v>461.2</v>
      </c>
      <c r="D33" s="35">
        <v>445.1</v>
      </c>
    </row>
    <row r="34" spans="1:7" x14ac:dyDescent="0.25">
      <c r="A34" s="35" t="s">
        <v>52</v>
      </c>
      <c r="B34" s="35">
        <v>992.5</v>
      </c>
      <c r="C34" s="35">
        <v>1248.6999999999998</v>
      </c>
      <c r="D34" s="35">
        <v>1284.1000000000001</v>
      </c>
    </row>
    <row r="35" spans="1:7" x14ac:dyDescent="0.25">
      <c r="A35" s="35"/>
      <c r="B35" s="35"/>
      <c r="C35" s="35"/>
      <c r="D35" s="35"/>
    </row>
    <row r="36" spans="1:7" ht="15.75" thickBot="1" x14ac:dyDescent="0.3">
      <c r="A36" s="38" t="s">
        <v>63</v>
      </c>
      <c r="B36" s="38"/>
      <c r="C36" s="38"/>
      <c r="D36" s="38"/>
    </row>
    <row r="37" spans="1:7" x14ac:dyDescent="0.25">
      <c r="A37" s="35" t="s">
        <v>49</v>
      </c>
      <c r="B37" s="35">
        <v>10</v>
      </c>
      <c r="C37" s="35">
        <v>10</v>
      </c>
      <c r="D37" s="35"/>
    </row>
    <row r="38" spans="1:7" x14ac:dyDescent="0.25">
      <c r="A38" s="35" t="s">
        <v>50</v>
      </c>
      <c r="B38" s="35">
        <v>4241</v>
      </c>
      <c r="C38" s="35">
        <v>4550</v>
      </c>
      <c r="D38" s="35"/>
    </row>
    <row r="39" spans="1:7" x14ac:dyDescent="0.25">
      <c r="A39" s="35" t="s">
        <v>51</v>
      </c>
      <c r="B39" s="35">
        <v>424.1</v>
      </c>
      <c r="C39" s="35">
        <v>455</v>
      </c>
      <c r="D39" s="35"/>
    </row>
    <row r="40" spans="1:7" x14ac:dyDescent="0.25">
      <c r="A40" s="35" t="s">
        <v>52</v>
      </c>
      <c r="B40" s="35">
        <v>549.43333333333339</v>
      </c>
      <c r="C40" s="35">
        <v>901.11111111111109</v>
      </c>
      <c r="D40" s="35"/>
    </row>
    <row r="41" spans="1:7" x14ac:dyDescent="0.25">
      <c r="A41" s="35"/>
      <c r="B41" s="35"/>
      <c r="C41" s="35"/>
      <c r="D41" s="35"/>
    </row>
    <row r="42" spans="1:7" x14ac:dyDescent="0.25">
      <c r="A42"/>
    </row>
    <row r="43" spans="1:7" ht="15.75" thickBot="1" x14ac:dyDescent="0.3">
      <c r="A43" t="s">
        <v>53</v>
      </c>
    </row>
    <row r="44" spans="1:7" x14ac:dyDescent="0.25">
      <c r="A44" s="37" t="s">
        <v>54</v>
      </c>
      <c r="B44" s="37" t="s">
        <v>55</v>
      </c>
      <c r="C44" s="37" t="s">
        <v>56</v>
      </c>
      <c r="D44" s="37" t="s">
        <v>57</v>
      </c>
      <c r="E44" s="37" t="s">
        <v>58</v>
      </c>
      <c r="F44" s="37" t="s">
        <v>59</v>
      </c>
      <c r="G44" s="37" t="s">
        <v>60</v>
      </c>
    </row>
    <row r="45" spans="1:7" x14ac:dyDescent="0.25">
      <c r="A45" s="35" t="s">
        <v>65</v>
      </c>
      <c r="B45" s="35">
        <v>616.04999999999563</v>
      </c>
      <c r="C45" s="35">
        <v>1</v>
      </c>
      <c r="D45" s="35">
        <v>616.04999999999563</v>
      </c>
      <c r="E45" s="35">
        <v>0.79295919680782034</v>
      </c>
      <c r="F45" s="35">
        <v>0.38640130634914882</v>
      </c>
      <c r="G45" s="35">
        <v>4.4939984776663584</v>
      </c>
    </row>
    <row r="46" spans="1:7" x14ac:dyDescent="0.25">
      <c r="A46" s="35" t="s">
        <v>66</v>
      </c>
      <c r="B46" s="35">
        <v>4774.0499999999956</v>
      </c>
      <c r="C46" s="35">
        <v>1</v>
      </c>
      <c r="D46" s="35">
        <v>4774.0499999999956</v>
      </c>
      <c r="E46" s="35">
        <v>6.1449993564165215</v>
      </c>
      <c r="F46" s="35">
        <v>2.4699161082872942E-2</v>
      </c>
      <c r="G46" s="35">
        <v>4.4939984776663584</v>
      </c>
    </row>
    <row r="47" spans="1:7" x14ac:dyDescent="0.25">
      <c r="A47" s="35" t="s">
        <v>67</v>
      </c>
      <c r="B47" s="35">
        <v>8.4500000000061846</v>
      </c>
      <c r="C47" s="35">
        <v>1</v>
      </c>
      <c r="D47" s="35">
        <v>8.4500000000061846</v>
      </c>
      <c r="E47" s="35">
        <v>1.0876560689929444E-2</v>
      </c>
      <c r="F47" s="35">
        <v>0.91823475554119571</v>
      </c>
      <c r="G47" s="35">
        <v>4.4939984776663584</v>
      </c>
    </row>
    <row r="48" spans="1:7" x14ac:dyDescent="0.25">
      <c r="A48" s="35" t="s">
        <v>68</v>
      </c>
      <c r="B48" s="35">
        <v>12430.4</v>
      </c>
      <c r="C48" s="35">
        <v>16</v>
      </c>
      <c r="D48" s="35">
        <v>776.9</v>
      </c>
      <c r="E48" s="35"/>
      <c r="F48" s="35"/>
      <c r="G48" s="35"/>
    </row>
    <row r="49" spans="1:7" x14ac:dyDescent="0.25">
      <c r="A49" s="35"/>
      <c r="B49" s="35"/>
      <c r="C49" s="35"/>
      <c r="D49" s="35"/>
      <c r="E49" s="35"/>
      <c r="F49" s="35"/>
      <c r="G49" s="35"/>
    </row>
    <row r="50" spans="1:7" ht="15.75" thickBot="1" x14ac:dyDescent="0.3">
      <c r="A50" s="36" t="s">
        <v>63</v>
      </c>
      <c r="B50" s="36">
        <v>17828.949999999997</v>
      </c>
      <c r="C50" s="36">
        <v>19</v>
      </c>
      <c r="D50" s="36"/>
      <c r="E50" s="36"/>
      <c r="F50" s="36"/>
      <c r="G50" s="36"/>
    </row>
    <row r="51" spans="1:7" x14ac:dyDescent="0.25">
      <c r="A51"/>
    </row>
    <row r="52" spans="1:7" x14ac:dyDescent="0.25">
      <c r="A52"/>
    </row>
    <row r="53" spans="1:7" x14ac:dyDescent="0.25">
      <c r="A53"/>
    </row>
    <row r="54" spans="1:7" x14ac:dyDescent="0.25">
      <c r="A54"/>
    </row>
    <row r="55" spans="1:7" x14ac:dyDescent="0.25">
      <c r="A55"/>
    </row>
    <row r="56" spans="1:7" x14ac:dyDescent="0.25">
      <c r="A56"/>
    </row>
    <row r="57" spans="1:7" x14ac:dyDescent="0.25">
      <c r="A5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73ECC-F437-4767-913C-F4ED79CB229C}">
  <dimension ref="A1:N39"/>
  <sheetViews>
    <sheetView zoomScale="90" zoomScaleNormal="90" workbookViewId="0">
      <selection activeCell="J1" sqref="J1"/>
    </sheetView>
  </sheetViews>
  <sheetFormatPr defaultColWidth="9.140625" defaultRowHeight="15" x14ac:dyDescent="0.25"/>
  <cols>
    <col min="1" max="1" width="19.5703125" bestFit="1" customWidth="1"/>
    <col min="2" max="3" width="19.28515625" style="21" customWidth="1"/>
    <col min="4" max="4" width="23.42578125" style="21" bestFit="1" customWidth="1"/>
  </cols>
  <sheetData>
    <row r="1" spans="1:11" s="6" customFormat="1" ht="21.75" customHeight="1" thickBot="1" x14ac:dyDescent="0.3">
      <c r="A1" s="6" t="s">
        <v>8</v>
      </c>
      <c r="B1" s="19" t="s">
        <v>9</v>
      </c>
      <c r="C1" s="19" t="s">
        <v>10</v>
      </c>
      <c r="D1" s="19" t="s">
        <v>11</v>
      </c>
      <c r="F1" s="3" t="s">
        <v>40</v>
      </c>
      <c r="G1" s="32"/>
      <c r="H1" s="32"/>
      <c r="I1" s="32"/>
    </row>
    <row r="2" spans="1:11" x14ac:dyDescent="0.25">
      <c r="A2" t="s">
        <v>13</v>
      </c>
      <c r="B2" s="20">
        <v>5.8</v>
      </c>
      <c r="C2" s="20">
        <v>4.9000000000000004</v>
      </c>
      <c r="D2" s="21">
        <v>820</v>
      </c>
      <c r="F2" t="s">
        <v>72</v>
      </c>
    </row>
    <row r="3" spans="1:11" ht="15.75" thickBot="1" x14ac:dyDescent="0.3">
      <c r="A3" t="s">
        <v>14</v>
      </c>
      <c r="B3" s="20">
        <v>5.6</v>
      </c>
      <c r="C3" s="20">
        <v>4.2</v>
      </c>
      <c r="D3" s="21">
        <v>500</v>
      </c>
    </row>
    <row r="4" spans="1:11" x14ac:dyDescent="0.25">
      <c r="A4" t="s">
        <v>15</v>
      </c>
      <c r="B4" s="20">
        <v>7.7</v>
      </c>
      <c r="C4" s="20">
        <v>3.5</v>
      </c>
      <c r="D4" s="21">
        <v>300</v>
      </c>
      <c r="F4" s="39" t="s">
        <v>73</v>
      </c>
      <c r="G4" s="39"/>
    </row>
    <row r="5" spans="1:11" x14ac:dyDescent="0.25">
      <c r="A5" t="s">
        <v>16</v>
      </c>
      <c r="B5" s="20">
        <v>8.6999999999999993</v>
      </c>
      <c r="C5" s="20">
        <v>2.7</v>
      </c>
      <c r="D5" s="21">
        <v>230</v>
      </c>
      <c r="F5" s="35" t="s">
        <v>74</v>
      </c>
      <c r="G5" s="35">
        <v>0.88600316640051047</v>
      </c>
    </row>
    <row r="6" spans="1:11" x14ac:dyDescent="0.25">
      <c r="A6" t="s">
        <v>17</v>
      </c>
      <c r="B6" s="20">
        <v>7.8</v>
      </c>
      <c r="C6" s="20">
        <v>4.2</v>
      </c>
      <c r="D6" s="21">
        <v>400</v>
      </c>
      <c r="F6" s="35" t="s">
        <v>75</v>
      </c>
      <c r="G6" s="35">
        <v>0.7850016108717307</v>
      </c>
    </row>
    <row r="7" spans="1:11" x14ac:dyDescent="0.25">
      <c r="A7" t="s">
        <v>18</v>
      </c>
      <c r="B7" s="20">
        <v>6.2</v>
      </c>
      <c r="C7" s="20">
        <v>3.9</v>
      </c>
      <c r="D7" s="21">
        <v>350</v>
      </c>
      <c r="F7" s="35" t="s">
        <v>76</v>
      </c>
      <c r="G7" s="35">
        <v>0.74200193304607676</v>
      </c>
    </row>
    <row r="8" spans="1:11" x14ac:dyDescent="0.25">
      <c r="A8" t="s">
        <v>19</v>
      </c>
      <c r="B8" s="20">
        <v>5.7</v>
      </c>
      <c r="C8" s="20">
        <v>4.7</v>
      </c>
      <c r="D8" s="21">
        <v>630</v>
      </c>
      <c r="F8" s="35" t="s">
        <v>77</v>
      </c>
      <c r="G8" s="35">
        <v>87.030040018448091</v>
      </c>
    </row>
    <row r="9" spans="1:11" ht="15.75" thickBot="1" x14ac:dyDescent="0.3">
      <c r="A9" t="s">
        <v>20</v>
      </c>
      <c r="B9" s="20">
        <v>8.6</v>
      </c>
      <c r="C9" s="20">
        <v>3.4000000000000004</v>
      </c>
      <c r="D9" s="21">
        <v>250</v>
      </c>
      <c r="F9" s="36" t="s">
        <v>78</v>
      </c>
      <c r="G9" s="36">
        <v>13</v>
      </c>
    </row>
    <row r="10" spans="1:11" x14ac:dyDescent="0.25">
      <c r="A10" t="s">
        <v>21</v>
      </c>
      <c r="B10" s="20">
        <v>7.8</v>
      </c>
      <c r="C10" s="20">
        <v>4.3</v>
      </c>
      <c r="D10" s="21">
        <v>310</v>
      </c>
    </row>
    <row r="11" spans="1:11" ht="15.75" thickBot="1" x14ac:dyDescent="0.3">
      <c r="A11" t="s">
        <v>22</v>
      </c>
      <c r="B11" s="20">
        <v>7.1000000000000005</v>
      </c>
      <c r="C11" s="20">
        <v>4.4000000000000004</v>
      </c>
      <c r="D11" s="21">
        <v>430</v>
      </c>
      <c r="F11" t="s">
        <v>53</v>
      </c>
    </row>
    <row r="12" spans="1:11" x14ac:dyDescent="0.25">
      <c r="A12" t="s">
        <v>23</v>
      </c>
      <c r="B12" s="20">
        <v>8.1</v>
      </c>
      <c r="C12" s="20">
        <v>3.8</v>
      </c>
      <c r="D12" s="21">
        <v>360</v>
      </c>
      <c r="F12" s="37"/>
      <c r="G12" s="37" t="s">
        <v>56</v>
      </c>
      <c r="H12" s="37" t="s">
        <v>55</v>
      </c>
      <c r="I12" s="37" t="s">
        <v>57</v>
      </c>
      <c r="J12" s="37" t="s">
        <v>58</v>
      </c>
      <c r="K12" s="37" t="s">
        <v>82</v>
      </c>
    </row>
    <row r="13" spans="1:11" x14ac:dyDescent="0.25">
      <c r="A13" t="s">
        <v>24</v>
      </c>
      <c r="B13" s="20">
        <v>5.2</v>
      </c>
      <c r="C13" s="20">
        <v>3.7</v>
      </c>
      <c r="D13" s="21">
        <v>520</v>
      </c>
      <c r="F13" s="35" t="s">
        <v>79</v>
      </c>
      <c r="G13" s="35">
        <v>2</v>
      </c>
      <c r="H13" s="35">
        <v>276550.02903618099</v>
      </c>
      <c r="I13" s="35">
        <v>138275.01451809049</v>
      </c>
      <c r="J13" s="35">
        <v>18.255988197274213</v>
      </c>
      <c r="K13" s="35">
        <v>4.5938417447700307E-4</v>
      </c>
    </row>
    <row r="14" spans="1:11" x14ac:dyDescent="0.25">
      <c r="A14" t="s">
        <v>25</v>
      </c>
      <c r="B14" s="20">
        <v>8.6999999999999993</v>
      </c>
      <c r="C14" s="20">
        <v>3.4000000000000004</v>
      </c>
      <c r="D14" s="21">
        <v>240</v>
      </c>
      <c r="F14" s="35" t="s">
        <v>80</v>
      </c>
      <c r="G14" s="35">
        <v>10</v>
      </c>
      <c r="H14" s="35">
        <v>75742.278656126771</v>
      </c>
      <c r="I14" s="35">
        <v>7574.2278656126773</v>
      </c>
      <c r="J14" s="35"/>
      <c r="K14" s="35"/>
    </row>
    <row r="15" spans="1:11" ht="15.75" thickBot="1" x14ac:dyDescent="0.3">
      <c r="F15" s="36" t="s">
        <v>63</v>
      </c>
      <c r="G15" s="36">
        <v>12</v>
      </c>
      <c r="H15" s="36">
        <v>352292.30769230775</v>
      </c>
      <c r="I15" s="36"/>
      <c r="J15" s="36"/>
      <c r="K15" s="36"/>
    </row>
    <row r="16" spans="1:11" ht="15.75" thickBot="1" x14ac:dyDescent="0.3"/>
    <row r="17" spans="6:14" x14ac:dyDescent="0.25">
      <c r="F17" s="37"/>
      <c r="G17" s="37" t="s">
        <v>83</v>
      </c>
      <c r="H17" s="37" t="s">
        <v>77</v>
      </c>
      <c r="I17" s="37" t="s">
        <v>84</v>
      </c>
      <c r="J17" s="37" t="s">
        <v>59</v>
      </c>
      <c r="K17" s="37" t="s">
        <v>85</v>
      </c>
      <c r="L17" s="37" t="s">
        <v>86</v>
      </c>
      <c r="M17" s="37" t="s">
        <v>87</v>
      </c>
      <c r="N17" s="37" t="s">
        <v>88</v>
      </c>
    </row>
    <row r="18" spans="6:14" x14ac:dyDescent="0.25">
      <c r="F18" s="35" t="s">
        <v>81</v>
      </c>
      <c r="G18" s="35">
        <v>340.61925972439087</v>
      </c>
      <c r="H18" s="35">
        <v>350.45512807894733</v>
      </c>
      <c r="I18" s="35">
        <v>0.97193401503789456</v>
      </c>
      <c r="J18" s="35">
        <v>0.35400554595426692</v>
      </c>
      <c r="K18" s="35">
        <v>-440.24342702613762</v>
      </c>
      <c r="L18" s="35">
        <v>1121.4819464749194</v>
      </c>
      <c r="M18" s="35">
        <v>-440.24342702613762</v>
      </c>
      <c r="N18" s="35">
        <v>1121.4819464749194</v>
      </c>
    </row>
    <row r="19" spans="6:14" x14ac:dyDescent="0.25">
      <c r="F19" s="35" t="s">
        <v>9</v>
      </c>
      <c r="G19" s="35">
        <v>-66.016500683981576</v>
      </c>
      <c r="H19" s="35">
        <v>24.910186542926198</v>
      </c>
      <c r="I19" s="35">
        <v>-2.6501809037125992</v>
      </c>
      <c r="J19" s="35">
        <v>2.4305507651110222E-2</v>
      </c>
      <c r="K19" s="35">
        <v>-121.5198551305011</v>
      </c>
      <c r="L19" s="35">
        <v>-10.51314623746206</v>
      </c>
      <c r="M19" s="35">
        <v>-121.5198551305011</v>
      </c>
      <c r="N19" s="35">
        <v>-10.51314623746206</v>
      </c>
    </row>
    <row r="20" spans="6:14" ht="15.75" thickBot="1" x14ac:dyDescent="0.3">
      <c r="F20" s="36" t="s">
        <v>10</v>
      </c>
      <c r="G20" s="36">
        <v>137.99381971023885</v>
      </c>
      <c r="H20" s="36">
        <v>53.294504096731188</v>
      </c>
      <c r="I20" s="36">
        <v>2.5892692323353974</v>
      </c>
      <c r="J20" s="36">
        <v>2.6983770017012035E-2</v>
      </c>
      <c r="K20" s="36">
        <v>19.246264534970422</v>
      </c>
      <c r="L20" s="36">
        <v>256.7413748855073</v>
      </c>
      <c r="M20" s="36">
        <v>19.246264534970422</v>
      </c>
      <c r="N20" s="36">
        <v>256.7413748855073</v>
      </c>
    </row>
    <row r="24" spans="6:14" x14ac:dyDescent="0.25">
      <c r="F24" t="s">
        <v>89</v>
      </c>
    </row>
    <row r="25" spans="6:14" ht="15.75" thickBot="1" x14ac:dyDescent="0.3"/>
    <row r="26" spans="6:14" x14ac:dyDescent="0.25">
      <c r="F26" s="37" t="s">
        <v>90</v>
      </c>
      <c r="G26" s="37" t="s">
        <v>91</v>
      </c>
      <c r="H26" s="37" t="s">
        <v>92</v>
      </c>
    </row>
    <row r="27" spans="6:14" x14ac:dyDescent="0.25">
      <c r="F27" s="35">
        <v>1</v>
      </c>
      <c r="G27" s="35">
        <v>633.89327233746815</v>
      </c>
      <c r="H27" s="35">
        <v>186.10672766253185</v>
      </c>
    </row>
    <row r="28" spans="6:14" x14ac:dyDescent="0.25">
      <c r="F28" s="35">
        <v>2</v>
      </c>
      <c r="G28" s="35">
        <v>550.50089867709721</v>
      </c>
      <c r="H28" s="35">
        <v>-50.500898677097211</v>
      </c>
    </row>
    <row r="29" spans="6:14" x14ac:dyDescent="0.25">
      <c r="F29" s="35">
        <v>3</v>
      </c>
      <c r="G29" s="35">
        <v>315.27057344356871</v>
      </c>
      <c r="H29" s="35">
        <v>-15.270573443568708</v>
      </c>
    </row>
    <row r="30" spans="6:14" x14ac:dyDescent="0.25">
      <c r="F30" s="35">
        <v>4</v>
      </c>
      <c r="G30" s="35">
        <v>138.85901699139606</v>
      </c>
      <c r="H30" s="35">
        <v>91.140983008603939</v>
      </c>
    </row>
    <row r="31" spans="6:14" x14ac:dyDescent="0.25">
      <c r="F31" s="35">
        <v>5</v>
      </c>
      <c r="G31" s="35">
        <v>405.26459717233774</v>
      </c>
      <c r="H31" s="35">
        <v>-5.2645971723377443</v>
      </c>
    </row>
    <row r="32" spans="6:14" x14ac:dyDescent="0.25">
      <c r="F32" s="35">
        <v>6</v>
      </c>
      <c r="G32" s="35">
        <v>469.49285235363664</v>
      </c>
      <c r="H32" s="35">
        <v>-119.49285235363664</v>
      </c>
    </row>
    <row r="33" spans="6:8" x14ac:dyDescent="0.25">
      <c r="F33" s="35">
        <v>7</v>
      </c>
      <c r="G33" s="35">
        <v>612.89615846381855</v>
      </c>
      <c r="H33" s="35">
        <v>17.103841536181449</v>
      </c>
    </row>
    <row r="34" spans="6:8" x14ac:dyDescent="0.25">
      <c r="F34" s="35">
        <v>8</v>
      </c>
      <c r="G34" s="35">
        <v>242.05634085696147</v>
      </c>
      <c r="H34" s="35">
        <v>7.9436591430385306</v>
      </c>
    </row>
    <row r="35" spans="6:8" x14ac:dyDescent="0.25">
      <c r="F35" s="35">
        <v>9</v>
      </c>
      <c r="G35" s="35">
        <v>419.06397914336162</v>
      </c>
      <c r="H35" s="35">
        <v>-109.06397914336162</v>
      </c>
    </row>
    <row r="36" spans="6:8" x14ac:dyDescent="0.25">
      <c r="F36" s="35">
        <v>10</v>
      </c>
      <c r="G36" s="35">
        <v>479.07491159317266</v>
      </c>
      <c r="H36" s="35">
        <v>-49.074911593172658</v>
      </c>
    </row>
    <row r="37" spans="6:8" x14ac:dyDescent="0.25">
      <c r="F37" s="35">
        <v>11</v>
      </c>
      <c r="G37" s="35">
        <v>330.26211908304776</v>
      </c>
      <c r="H37" s="35">
        <v>29.737880916952236</v>
      </c>
    </row>
    <row r="38" spans="6:8" x14ac:dyDescent="0.25">
      <c r="F38" s="35">
        <v>12</v>
      </c>
      <c r="G38" s="35">
        <v>507.91058909557046</v>
      </c>
      <c r="H38" s="35">
        <v>12.089410904429542</v>
      </c>
    </row>
    <row r="39" spans="6:8" ht="15.75" thickBot="1" x14ac:dyDescent="0.3">
      <c r="F39" s="36">
        <v>13</v>
      </c>
      <c r="G39" s="36">
        <v>235.45469078856331</v>
      </c>
      <c r="H39" s="36">
        <v>4.5453092114366882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C2195-3684-4E14-A508-63E0C10D3D2D}">
  <dimension ref="A1:O35"/>
  <sheetViews>
    <sheetView zoomScaleNormal="100" workbookViewId="0">
      <selection sqref="A1:E9"/>
    </sheetView>
  </sheetViews>
  <sheetFormatPr defaultRowHeight="15" x14ac:dyDescent="0.25"/>
  <cols>
    <col min="1" max="1" width="19.5703125" style="22" bestFit="1" customWidth="1"/>
    <col min="2" max="2" width="21.85546875" style="24" bestFit="1" customWidth="1"/>
    <col min="3" max="3" width="22.7109375" bestFit="1" customWidth="1"/>
    <col min="4" max="4" width="22.7109375" customWidth="1"/>
    <col min="5" max="5" width="11.5703125" style="24" customWidth="1"/>
  </cols>
  <sheetData>
    <row r="1" spans="1:12" ht="15.75" thickBot="1" x14ac:dyDescent="0.3">
      <c r="A1" s="19" t="s">
        <v>8</v>
      </c>
      <c r="B1" s="19" t="s">
        <v>39</v>
      </c>
      <c r="C1" s="19" t="s">
        <v>26</v>
      </c>
      <c r="D1" s="19" t="s">
        <v>27</v>
      </c>
      <c r="E1" s="19" t="s">
        <v>28</v>
      </c>
      <c r="G1" s="3" t="s">
        <v>41</v>
      </c>
      <c r="H1" s="32"/>
      <c r="I1" s="32"/>
      <c r="J1" s="32"/>
    </row>
    <row r="2" spans="1:12" x14ac:dyDescent="0.25">
      <c r="A2" s="22" t="s">
        <v>29</v>
      </c>
      <c r="B2" s="23">
        <v>19</v>
      </c>
      <c r="C2" s="23">
        <v>14</v>
      </c>
      <c r="D2" s="23">
        <v>0</v>
      </c>
      <c r="E2" s="22" t="s">
        <v>30</v>
      </c>
    </row>
    <row r="3" spans="1:12" x14ac:dyDescent="0.25">
      <c r="A3" s="22" t="s">
        <v>31</v>
      </c>
      <c r="B3" s="23">
        <v>20</v>
      </c>
      <c r="C3" s="23">
        <v>15</v>
      </c>
      <c r="D3" s="23">
        <v>0</v>
      </c>
      <c r="E3" s="22" t="s">
        <v>30</v>
      </c>
      <c r="G3" t="s">
        <v>72</v>
      </c>
    </row>
    <row r="4" spans="1:12" ht="15.75" thickBot="1" x14ac:dyDescent="0.3">
      <c r="A4" s="22" t="s">
        <v>32</v>
      </c>
      <c r="B4" s="23">
        <v>19</v>
      </c>
      <c r="C4" s="23">
        <v>11</v>
      </c>
      <c r="D4" s="23">
        <v>0</v>
      </c>
      <c r="E4" s="22" t="s">
        <v>30</v>
      </c>
    </row>
    <row r="5" spans="1:12" x14ac:dyDescent="0.25">
      <c r="A5" s="22" t="s">
        <v>33</v>
      </c>
      <c r="B5" s="23">
        <v>10</v>
      </c>
      <c r="C5" s="23">
        <v>8</v>
      </c>
      <c r="D5" s="23">
        <v>1</v>
      </c>
      <c r="E5" s="22" t="s">
        <v>2</v>
      </c>
      <c r="G5" s="39" t="s">
        <v>73</v>
      </c>
      <c r="H5" s="39"/>
    </row>
    <row r="6" spans="1:12" x14ac:dyDescent="0.25">
      <c r="A6" s="22" t="s">
        <v>34</v>
      </c>
      <c r="B6" s="23">
        <v>25</v>
      </c>
      <c r="C6" s="23">
        <v>21</v>
      </c>
      <c r="D6" s="23">
        <v>0</v>
      </c>
      <c r="E6" s="22" t="s">
        <v>30</v>
      </c>
      <c r="G6" s="35" t="s">
        <v>74</v>
      </c>
      <c r="H6" s="35">
        <v>0.97390116706870988</v>
      </c>
    </row>
    <row r="7" spans="1:12" x14ac:dyDescent="0.25">
      <c r="A7" s="22" t="s">
        <v>35</v>
      </c>
      <c r="B7" s="23">
        <v>6</v>
      </c>
      <c r="C7" s="23">
        <v>6</v>
      </c>
      <c r="D7" s="23">
        <v>1</v>
      </c>
      <c r="E7" s="22" t="s">
        <v>2</v>
      </c>
      <c r="G7" s="35" t="s">
        <v>75</v>
      </c>
      <c r="H7" s="35">
        <v>0.94848348321779508</v>
      </c>
    </row>
    <row r="8" spans="1:12" x14ac:dyDescent="0.25">
      <c r="A8" s="22" t="s">
        <v>19</v>
      </c>
      <c r="B8" s="23">
        <v>13</v>
      </c>
      <c r="C8" s="23">
        <v>9</v>
      </c>
      <c r="D8" s="23">
        <v>1</v>
      </c>
      <c r="E8" s="22" t="s">
        <v>2</v>
      </c>
      <c r="G8" s="35" t="s">
        <v>76</v>
      </c>
      <c r="H8" s="35">
        <v>0.92787687650491313</v>
      </c>
    </row>
    <row r="9" spans="1:12" x14ac:dyDescent="0.25">
      <c r="A9" s="22" t="s">
        <v>12</v>
      </c>
      <c r="B9" s="23">
        <v>5</v>
      </c>
      <c r="C9" s="23">
        <v>5</v>
      </c>
      <c r="D9" s="23">
        <v>1</v>
      </c>
      <c r="E9" s="22" t="s">
        <v>2</v>
      </c>
      <c r="G9" s="35" t="s">
        <v>77</v>
      </c>
      <c r="H9" s="35">
        <v>1.9415769661638058</v>
      </c>
    </row>
    <row r="10" spans="1:12" ht="15.75" thickBot="1" x14ac:dyDescent="0.3">
      <c r="G10" s="36" t="s">
        <v>78</v>
      </c>
      <c r="H10" s="36">
        <v>8</v>
      </c>
    </row>
    <row r="12" spans="1:12" ht="15.75" thickBot="1" x14ac:dyDescent="0.3">
      <c r="G12" t="s">
        <v>53</v>
      </c>
    </row>
    <row r="13" spans="1:12" x14ac:dyDescent="0.25">
      <c r="G13" s="37"/>
      <c r="H13" s="37" t="s">
        <v>56</v>
      </c>
      <c r="I13" s="37" t="s">
        <v>55</v>
      </c>
      <c r="J13" s="37" t="s">
        <v>57</v>
      </c>
      <c r="K13" s="37" t="s">
        <v>58</v>
      </c>
      <c r="L13" s="37" t="s">
        <v>82</v>
      </c>
    </row>
    <row r="14" spans="1:12" x14ac:dyDescent="0.25">
      <c r="G14" s="35" t="s">
        <v>79</v>
      </c>
      <c r="H14" s="35">
        <v>2</v>
      </c>
      <c r="I14" s="35">
        <v>347.02639442231077</v>
      </c>
      <c r="J14" s="35">
        <v>173.51319721115539</v>
      </c>
      <c r="K14" s="35">
        <v>46.028125660536894</v>
      </c>
      <c r="L14" s="35">
        <v>6.0237401314313559E-4</v>
      </c>
    </row>
    <row r="15" spans="1:12" x14ac:dyDescent="0.25">
      <c r="G15" s="35" t="s">
        <v>80</v>
      </c>
      <c r="H15" s="35">
        <v>5</v>
      </c>
      <c r="I15" s="35">
        <v>18.848605577689241</v>
      </c>
      <c r="J15" s="35">
        <v>3.7697211155378483</v>
      </c>
      <c r="K15" s="35"/>
      <c r="L15" s="35"/>
    </row>
    <row r="16" spans="1:12" ht="15.75" thickBot="1" x14ac:dyDescent="0.3">
      <c r="G16" s="36" t="s">
        <v>63</v>
      </c>
      <c r="H16" s="36">
        <v>7</v>
      </c>
      <c r="I16" s="36">
        <v>365.875</v>
      </c>
      <c r="J16" s="36"/>
      <c r="K16" s="36"/>
      <c r="L16" s="36"/>
    </row>
    <row r="17" spans="7:15" ht="15.75" thickBot="1" x14ac:dyDescent="0.3"/>
    <row r="18" spans="7:15" x14ac:dyDescent="0.25">
      <c r="G18" s="37"/>
      <c r="H18" s="37" t="s">
        <v>83</v>
      </c>
      <c r="I18" s="37" t="s">
        <v>77</v>
      </c>
      <c r="J18" s="37" t="s">
        <v>84</v>
      </c>
      <c r="K18" s="37" t="s">
        <v>59</v>
      </c>
      <c r="L18" s="37" t="s">
        <v>85</v>
      </c>
      <c r="M18" s="37" t="s">
        <v>86</v>
      </c>
      <c r="N18" s="37" t="s">
        <v>87</v>
      </c>
      <c r="O18" s="37" t="s">
        <v>88</v>
      </c>
    </row>
    <row r="19" spans="7:15" x14ac:dyDescent="0.25">
      <c r="G19" s="35" t="s">
        <v>81</v>
      </c>
      <c r="H19" s="35">
        <v>7.5657370517928273</v>
      </c>
      <c r="I19" s="35">
        <v>3.8618230876975237</v>
      </c>
      <c r="J19" s="35">
        <v>1.9591102129703286</v>
      </c>
      <c r="K19" s="35">
        <v>0.10741019560613907</v>
      </c>
      <c r="L19" s="35">
        <v>-2.3613952298833754</v>
      </c>
      <c r="M19" s="35">
        <v>17.492869333469031</v>
      </c>
      <c r="N19" s="35">
        <v>-2.3613952298833754</v>
      </c>
      <c r="O19" s="35">
        <v>17.492869333469031</v>
      </c>
    </row>
    <row r="20" spans="7:15" x14ac:dyDescent="0.25">
      <c r="G20" s="35" t="s">
        <v>26</v>
      </c>
      <c r="H20" s="35">
        <v>0.86454183266932283</v>
      </c>
      <c r="I20" s="35">
        <v>0.24510250284524135</v>
      </c>
      <c r="J20" s="35">
        <v>3.527266440095056</v>
      </c>
      <c r="K20" s="35">
        <v>1.678857668316475E-2</v>
      </c>
      <c r="L20" s="35">
        <v>0.23448579098634714</v>
      </c>
      <c r="M20" s="35">
        <v>1.4945978743522985</v>
      </c>
      <c r="N20" s="35">
        <v>0.23448579098634714</v>
      </c>
      <c r="O20" s="35">
        <v>1.4945978743522985</v>
      </c>
    </row>
    <row r="21" spans="7:15" ht="15.75" thickBot="1" x14ac:dyDescent="0.3">
      <c r="G21" s="36" t="s">
        <v>27</v>
      </c>
      <c r="H21" s="36">
        <v>-5.1175298804780862</v>
      </c>
      <c r="I21" s="36">
        <v>2.4441217992038253</v>
      </c>
      <c r="J21" s="36">
        <v>-2.0938113158456857</v>
      </c>
      <c r="K21" s="36">
        <v>9.046103898227599E-2</v>
      </c>
      <c r="L21" s="36">
        <v>-11.400344981594188</v>
      </c>
      <c r="M21" s="36">
        <v>1.1652852206380162</v>
      </c>
      <c r="N21" s="36">
        <v>-11.400344981594188</v>
      </c>
      <c r="O21" s="36">
        <v>1.1652852206380162</v>
      </c>
    </row>
    <row r="25" spans="7:15" x14ac:dyDescent="0.25">
      <c r="G25" t="s">
        <v>89</v>
      </c>
    </row>
    <row r="26" spans="7:15" ht="15.75" thickBot="1" x14ac:dyDescent="0.3"/>
    <row r="27" spans="7:15" x14ac:dyDescent="0.25">
      <c r="G27" s="37" t="s">
        <v>90</v>
      </c>
      <c r="H27" s="37" t="s">
        <v>93</v>
      </c>
      <c r="I27" s="37" t="s">
        <v>92</v>
      </c>
    </row>
    <row r="28" spans="7:15" x14ac:dyDescent="0.25">
      <c r="G28" s="35">
        <v>1</v>
      </c>
      <c r="H28" s="35">
        <v>19.669322709163346</v>
      </c>
      <c r="I28" s="35">
        <v>-0.66932270916334602</v>
      </c>
    </row>
    <row r="29" spans="7:15" x14ac:dyDescent="0.25">
      <c r="G29" s="35">
        <v>2</v>
      </c>
      <c r="H29" s="35">
        <v>20.533864541832671</v>
      </c>
      <c r="I29" s="35">
        <v>-0.53386454183267062</v>
      </c>
    </row>
    <row r="30" spans="7:15" x14ac:dyDescent="0.25">
      <c r="G30" s="35">
        <v>3</v>
      </c>
      <c r="H30" s="35">
        <v>17.075697211155379</v>
      </c>
      <c r="I30" s="35">
        <v>1.9243027888446207</v>
      </c>
    </row>
    <row r="31" spans="7:15" x14ac:dyDescent="0.25">
      <c r="G31" s="35">
        <v>4</v>
      </c>
      <c r="H31" s="35">
        <v>9.3645418326693228</v>
      </c>
      <c r="I31" s="35">
        <v>0.63545816733067717</v>
      </c>
    </row>
    <row r="32" spans="7:15" x14ac:dyDescent="0.25">
      <c r="G32" s="35">
        <v>5</v>
      </c>
      <c r="H32" s="35">
        <v>25.721115537848608</v>
      </c>
      <c r="I32" s="35">
        <v>-0.7211155378486076</v>
      </c>
    </row>
    <row r="33" spans="7:9" x14ac:dyDescent="0.25">
      <c r="G33" s="35">
        <v>6</v>
      </c>
      <c r="H33" s="35">
        <v>7.6354581673306772</v>
      </c>
      <c r="I33" s="35">
        <v>-1.6354581673306772</v>
      </c>
    </row>
    <row r="34" spans="7:9" x14ac:dyDescent="0.25">
      <c r="G34" s="35">
        <v>7</v>
      </c>
      <c r="H34" s="35">
        <v>10.229083665338647</v>
      </c>
      <c r="I34" s="35">
        <v>2.7709163346613526</v>
      </c>
    </row>
    <row r="35" spans="7:9" ht="15.75" thickBot="1" x14ac:dyDescent="0.3">
      <c r="G35" s="36">
        <v>8</v>
      </c>
      <c r="H35" s="36">
        <v>6.7709163346613561</v>
      </c>
      <c r="I35" s="36">
        <v>-1.7709163346613561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3DC4A-9B1F-47A6-9E69-54E83B3C55A4}">
  <dimension ref="A1:G102"/>
  <sheetViews>
    <sheetView zoomScaleNormal="100" workbookViewId="0">
      <selection activeCell="C2" sqref="C2:C36"/>
    </sheetView>
  </sheetViews>
  <sheetFormatPr defaultColWidth="8.7109375" defaultRowHeight="15" x14ac:dyDescent="0.25"/>
  <cols>
    <col min="1" max="1" width="14" style="25" bestFit="1" customWidth="1"/>
    <col min="2" max="2" width="8.140625" style="25" bestFit="1" customWidth="1"/>
    <col min="3" max="16384" width="8.7109375" style="25"/>
  </cols>
  <sheetData>
    <row r="1" spans="1:7" ht="15.75" thickBot="1" x14ac:dyDescent="0.3">
      <c r="A1" s="19" t="s">
        <v>36</v>
      </c>
      <c r="B1" s="19" t="s">
        <v>37</v>
      </c>
      <c r="C1"/>
      <c r="D1" s="3" t="s">
        <v>42</v>
      </c>
      <c r="E1" s="33"/>
      <c r="F1" s="33"/>
      <c r="G1" s="33"/>
    </row>
    <row r="2" spans="1:7" x14ac:dyDescent="0.25">
      <c r="A2" s="26">
        <v>45929</v>
      </c>
      <c r="B2" s="27">
        <v>0.59613105626323537</v>
      </c>
      <c r="C2" t="e">
        <v>#N/A</v>
      </c>
    </row>
    <row r="3" spans="1:7" x14ac:dyDescent="0.25">
      <c r="A3" s="26">
        <v>45930</v>
      </c>
      <c r="B3" s="27">
        <v>0.34915543995715986</v>
      </c>
      <c r="C3" s="28">
        <f>B2</f>
        <v>0.59613105626323537</v>
      </c>
      <c r="D3"/>
    </row>
    <row r="4" spans="1:7" x14ac:dyDescent="0.25">
      <c r="A4" s="26">
        <v>45931</v>
      </c>
      <c r="B4" s="27">
        <v>0.23043056123044139</v>
      </c>
      <c r="C4">
        <f t="shared" ref="C4:C36" si="0">0.9*B3+0.1*C3</f>
        <v>0.37385300158776741</v>
      </c>
      <c r="D4" s="28"/>
    </row>
    <row r="5" spans="1:7" x14ac:dyDescent="0.25">
      <c r="A5" s="26">
        <v>45932</v>
      </c>
      <c r="B5" s="27">
        <v>0.48397769248989625</v>
      </c>
      <c r="C5">
        <f t="shared" si="0"/>
        <v>0.24477280526617401</v>
      </c>
      <c r="D5"/>
    </row>
    <row r="6" spans="1:7" x14ac:dyDescent="0.25">
      <c r="A6" s="26">
        <v>45933</v>
      </c>
      <c r="B6" s="27">
        <v>0.47689588243400938</v>
      </c>
      <c r="C6">
        <f t="shared" si="0"/>
        <v>0.46005720376752401</v>
      </c>
      <c r="D6"/>
    </row>
    <row r="7" spans="1:7" x14ac:dyDescent="0.25">
      <c r="A7" s="26">
        <v>45934</v>
      </c>
      <c r="B7" s="27">
        <v>0.36739856722659425</v>
      </c>
      <c r="C7">
        <f t="shared" si="0"/>
        <v>0.47521201456736084</v>
      </c>
      <c r="D7"/>
    </row>
    <row r="8" spans="1:7" x14ac:dyDescent="0.25">
      <c r="A8" s="26">
        <v>45935</v>
      </c>
      <c r="B8" s="27">
        <v>0.42969518787093186</v>
      </c>
      <c r="C8">
        <f t="shared" si="0"/>
        <v>0.37817991196067097</v>
      </c>
      <c r="D8"/>
    </row>
    <row r="9" spans="1:7" x14ac:dyDescent="0.25">
      <c r="A9" s="26">
        <v>45936</v>
      </c>
      <c r="B9" s="27">
        <v>0.68757178924447848</v>
      </c>
      <c r="C9">
        <f t="shared" si="0"/>
        <v>0.42454366027990581</v>
      </c>
      <c r="D9"/>
    </row>
    <row r="10" spans="1:7" x14ac:dyDescent="0.25">
      <c r="A10" s="26">
        <v>45937</v>
      </c>
      <c r="B10" s="27">
        <v>0.38659027341654711</v>
      </c>
      <c r="C10">
        <f t="shared" si="0"/>
        <v>0.66126897634802118</v>
      </c>
      <c r="D10"/>
    </row>
    <row r="11" spans="1:7" x14ac:dyDescent="0.25">
      <c r="A11" s="26">
        <v>45938</v>
      </c>
      <c r="B11" s="27">
        <v>0.33636361025981998</v>
      </c>
      <c r="C11">
        <f t="shared" si="0"/>
        <v>0.41405814370969451</v>
      </c>
      <c r="D11"/>
    </row>
    <row r="12" spans="1:7" x14ac:dyDescent="0.25">
      <c r="A12" s="26">
        <v>45939</v>
      </c>
      <c r="B12" s="27">
        <v>0.51465820474901114</v>
      </c>
      <c r="C12">
        <f t="shared" si="0"/>
        <v>0.34413306360480744</v>
      </c>
      <c r="D12"/>
    </row>
    <row r="13" spans="1:7" x14ac:dyDescent="0.25">
      <c r="A13" s="26">
        <v>45940</v>
      </c>
      <c r="B13" s="27">
        <v>0.29540760281636652</v>
      </c>
      <c r="C13">
        <f t="shared" si="0"/>
        <v>0.49760569063459076</v>
      </c>
      <c r="D13"/>
    </row>
    <row r="14" spans="1:7" x14ac:dyDescent="0.25">
      <c r="A14" s="26">
        <v>45941</v>
      </c>
      <c r="B14" s="27">
        <v>0.4200678458766901</v>
      </c>
      <c r="C14">
        <f t="shared" si="0"/>
        <v>0.31562741159818897</v>
      </c>
      <c r="D14"/>
    </row>
    <row r="15" spans="1:7" x14ac:dyDescent="0.25">
      <c r="A15" s="26">
        <v>45942</v>
      </c>
      <c r="B15" s="27">
        <v>0.28835621107932369</v>
      </c>
      <c r="C15">
        <f t="shared" si="0"/>
        <v>0.40962380244884</v>
      </c>
      <c r="D15"/>
    </row>
    <row r="16" spans="1:7" x14ac:dyDescent="0.25">
      <c r="A16" s="26">
        <v>45943</v>
      </c>
      <c r="B16" s="27">
        <v>0.33401541780577015</v>
      </c>
      <c r="C16">
        <f t="shared" si="0"/>
        <v>0.30048297021627535</v>
      </c>
      <c r="D16"/>
    </row>
    <row r="17" spans="1:4" x14ac:dyDescent="0.25">
      <c r="A17" s="26">
        <v>45944</v>
      </c>
      <c r="B17" s="27">
        <v>0.51761638556972334</v>
      </c>
      <c r="C17">
        <f t="shared" si="0"/>
        <v>0.33066217304682066</v>
      </c>
      <c r="D17"/>
    </row>
    <row r="18" spans="1:4" x14ac:dyDescent="0.25">
      <c r="A18" s="26">
        <v>45945</v>
      </c>
      <c r="B18" s="27">
        <v>0.4954579281873851</v>
      </c>
      <c r="C18">
        <f t="shared" si="0"/>
        <v>0.4989209643174331</v>
      </c>
      <c r="D18"/>
    </row>
    <row r="19" spans="1:4" x14ac:dyDescent="0.25">
      <c r="A19" s="26">
        <v>45946</v>
      </c>
      <c r="B19" s="27">
        <v>0.3053376022542868</v>
      </c>
      <c r="C19">
        <f t="shared" si="0"/>
        <v>0.49580423180038991</v>
      </c>
      <c r="D19"/>
    </row>
    <row r="20" spans="1:4" x14ac:dyDescent="0.25">
      <c r="A20" s="26">
        <v>45947</v>
      </c>
      <c r="B20" s="27">
        <v>0.25188531086551746</v>
      </c>
      <c r="C20">
        <f t="shared" si="0"/>
        <v>0.32438426520889707</v>
      </c>
      <c r="D20"/>
    </row>
    <row r="21" spans="1:4" x14ac:dyDescent="0.25">
      <c r="A21" s="26">
        <v>45948</v>
      </c>
      <c r="B21" s="27">
        <v>0.4269235781657727</v>
      </c>
      <c r="C21">
        <f t="shared" si="0"/>
        <v>0.25913520629985543</v>
      </c>
      <c r="D21"/>
    </row>
    <row r="22" spans="1:4" x14ac:dyDescent="0.25">
      <c r="A22" s="26">
        <v>45949</v>
      </c>
      <c r="B22" s="27">
        <v>0.22720481947456747</v>
      </c>
      <c r="C22">
        <f t="shared" si="0"/>
        <v>0.41014474097918097</v>
      </c>
      <c r="D22"/>
    </row>
    <row r="23" spans="1:4" x14ac:dyDescent="0.25">
      <c r="A23" s="26">
        <v>45950</v>
      </c>
      <c r="B23" s="27">
        <v>0.17474501729583575</v>
      </c>
      <c r="C23">
        <f t="shared" si="0"/>
        <v>0.24549881162502885</v>
      </c>
      <c r="D23"/>
    </row>
    <row r="24" spans="1:4" x14ac:dyDescent="0.25">
      <c r="A24" s="26">
        <v>45951</v>
      </c>
      <c r="B24" s="27">
        <v>0.5428896768469893</v>
      </c>
      <c r="C24">
        <f t="shared" si="0"/>
        <v>0.18182039672875508</v>
      </c>
      <c r="D24"/>
    </row>
    <row r="25" spans="1:4" x14ac:dyDescent="0.25">
      <c r="A25" s="26">
        <v>45952</v>
      </c>
      <c r="B25" s="27">
        <v>0.38459123259797218</v>
      </c>
      <c r="C25">
        <f t="shared" si="0"/>
        <v>0.50678274883516583</v>
      </c>
      <c r="D25"/>
    </row>
    <row r="26" spans="1:4" x14ac:dyDescent="0.25">
      <c r="A26" s="26">
        <v>45953</v>
      </c>
      <c r="B26" s="27">
        <v>0.20689052063270844</v>
      </c>
      <c r="C26">
        <f t="shared" si="0"/>
        <v>0.39681038422169157</v>
      </c>
      <c r="D26"/>
    </row>
    <row r="27" spans="1:4" x14ac:dyDescent="0.25">
      <c r="A27" s="26">
        <v>45954</v>
      </c>
      <c r="B27" s="27">
        <v>0.56283243027739727</v>
      </c>
      <c r="C27">
        <f t="shared" si="0"/>
        <v>0.22588250699160675</v>
      </c>
      <c r="D27"/>
    </row>
    <row r="28" spans="1:4" x14ac:dyDescent="0.25">
      <c r="A28" s="26">
        <v>45955</v>
      </c>
      <c r="B28" s="27">
        <v>0.29951396366088506</v>
      </c>
      <c r="C28">
        <f t="shared" si="0"/>
        <v>0.52913743794881829</v>
      </c>
      <c r="D28"/>
    </row>
    <row r="29" spans="1:4" x14ac:dyDescent="0.25">
      <c r="A29" s="26">
        <v>45956</v>
      </c>
      <c r="B29" s="27">
        <v>0.45497005349914577</v>
      </c>
      <c r="C29">
        <f t="shared" si="0"/>
        <v>0.32247631108967839</v>
      </c>
      <c r="D29"/>
    </row>
    <row r="30" spans="1:4" x14ac:dyDescent="0.25">
      <c r="A30" s="26">
        <v>45957</v>
      </c>
      <c r="B30" s="27">
        <v>0.26275248678849744</v>
      </c>
      <c r="C30">
        <f t="shared" si="0"/>
        <v>0.44172067925819902</v>
      </c>
      <c r="D30"/>
    </row>
    <row r="31" spans="1:4" x14ac:dyDescent="0.25">
      <c r="A31" s="26">
        <v>45958</v>
      </c>
      <c r="B31" s="27">
        <v>0.41564704765789862</v>
      </c>
      <c r="C31">
        <f t="shared" si="0"/>
        <v>0.28064930603546762</v>
      </c>
      <c r="D31"/>
    </row>
    <row r="32" spans="1:4" x14ac:dyDescent="0.25">
      <c r="A32" s="26">
        <v>45959</v>
      </c>
      <c r="B32" s="27">
        <v>0.23074248257796204</v>
      </c>
      <c r="C32">
        <f t="shared" si="0"/>
        <v>0.40214727349565554</v>
      </c>
      <c r="D32"/>
    </row>
    <row r="33" spans="1:4" x14ac:dyDescent="0.25">
      <c r="A33" s="26">
        <v>45960</v>
      </c>
      <c r="B33" s="27">
        <v>0.5640985693248679</v>
      </c>
      <c r="C33">
        <f t="shared" si="0"/>
        <v>0.24788296166973139</v>
      </c>
      <c r="D33"/>
    </row>
    <row r="34" spans="1:4" x14ac:dyDescent="0.25">
      <c r="A34" s="26">
        <v>45961</v>
      </c>
      <c r="B34" s="27">
        <v>0.29331241593714197</v>
      </c>
      <c r="C34">
        <f t="shared" si="0"/>
        <v>0.5324770085593542</v>
      </c>
      <c r="D34"/>
    </row>
    <row r="35" spans="1:4" x14ac:dyDescent="0.25">
      <c r="A35" s="26">
        <v>45962</v>
      </c>
      <c r="B35" s="27">
        <v>0.32624798270759159</v>
      </c>
      <c r="C35">
        <f t="shared" si="0"/>
        <v>0.31722887519936321</v>
      </c>
      <c r="D35"/>
    </row>
    <row r="36" spans="1:4" x14ac:dyDescent="0.25">
      <c r="A36" s="26">
        <v>45963</v>
      </c>
      <c r="B36" s="27">
        <v>0.1976668611668933</v>
      </c>
      <c r="C36">
        <f t="shared" si="0"/>
        <v>0.32534607195676879</v>
      </c>
      <c r="D36"/>
    </row>
    <row r="37" spans="1:4" x14ac:dyDescent="0.25">
      <c r="A37" s="26"/>
      <c r="C37"/>
      <c r="D37"/>
    </row>
    <row r="38" spans="1:4" x14ac:dyDescent="0.25">
      <c r="A38" s="26"/>
      <c r="C38"/>
    </row>
    <row r="39" spans="1:4" x14ac:dyDescent="0.25">
      <c r="A39" s="26"/>
      <c r="C39"/>
    </row>
    <row r="40" spans="1:4" x14ac:dyDescent="0.25">
      <c r="A40" s="26"/>
      <c r="C40"/>
    </row>
    <row r="41" spans="1:4" x14ac:dyDescent="0.25">
      <c r="A41" s="26"/>
      <c r="C41"/>
    </row>
    <row r="42" spans="1:4" x14ac:dyDescent="0.25">
      <c r="A42" s="26"/>
      <c r="C42"/>
    </row>
    <row r="43" spans="1:4" x14ac:dyDescent="0.25">
      <c r="A43" s="26"/>
      <c r="C43"/>
    </row>
    <row r="44" spans="1:4" x14ac:dyDescent="0.25">
      <c r="A44" s="26"/>
      <c r="C44"/>
    </row>
    <row r="45" spans="1:4" x14ac:dyDescent="0.25">
      <c r="A45" s="26"/>
      <c r="C45"/>
    </row>
    <row r="46" spans="1:4" x14ac:dyDescent="0.25">
      <c r="A46" s="26"/>
      <c r="C46"/>
    </row>
    <row r="47" spans="1:4" x14ac:dyDescent="0.25">
      <c r="A47" s="26"/>
      <c r="C47"/>
    </row>
    <row r="48" spans="1:4" x14ac:dyDescent="0.25">
      <c r="A48" s="26"/>
      <c r="C48"/>
    </row>
    <row r="49" spans="1:3" x14ac:dyDescent="0.25">
      <c r="A49" s="26"/>
      <c r="C49"/>
    </row>
    <row r="50" spans="1:3" x14ac:dyDescent="0.25">
      <c r="A50" s="26"/>
      <c r="C50"/>
    </row>
    <row r="51" spans="1:3" x14ac:dyDescent="0.25">
      <c r="A51" s="26"/>
    </row>
    <row r="52" spans="1:3" x14ac:dyDescent="0.25">
      <c r="A52" s="26"/>
    </row>
    <row r="53" spans="1:3" x14ac:dyDescent="0.25">
      <c r="A53" s="26"/>
    </row>
    <row r="54" spans="1:3" x14ac:dyDescent="0.25">
      <c r="A54" s="26"/>
    </row>
    <row r="55" spans="1:3" x14ac:dyDescent="0.25">
      <c r="A55" s="26"/>
    </row>
    <row r="56" spans="1:3" x14ac:dyDescent="0.25">
      <c r="A56" s="26"/>
    </row>
    <row r="57" spans="1:3" x14ac:dyDescent="0.25">
      <c r="A57" s="26"/>
    </row>
    <row r="58" spans="1:3" x14ac:dyDescent="0.25">
      <c r="A58" s="26"/>
    </row>
    <row r="59" spans="1:3" x14ac:dyDescent="0.25">
      <c r="A59" s="26"/>
    </row>
    <row r="60" spans="1:3" x14ac:dyDescent="0.25">
      <c r="A60" s="26"/>
    </row>
    <row r="61" spans="1:3" x14ac:dyDescent="0.25">
      <c r="A61" s="26"/>
    </row>
    <row r="62" spans="1:3" x14ac:dyDescent="0.25">
      <c r="A62" s="26"/>
    </row>
    <row r="63" spans="1:3" x14ac:dyDescent="0.25">
      <c r="A63" s="26"/>
    </row>
    <row r="64" spans="1:3" x14ac:dyDescent="0.25">
      <c r="A64" s="26"/>
    </row>
    <row r="65" spans="1:1" x14ac:dyDescent="0.25">
      <c r="A65" s="26"/>
    </row>
    <row r="66" spans="1:1" x14ac:dyDescent="0.25">
      <c r="A66" s="26"/>
    </row>
    <row r="67" spans="1:1" x14ac:dyDescent="0.25">
      <c r="A67" s="26"/>
    </row>
    <row r="68" spans="1:1" x14ac:dyDescent="0.25">
      <c r="A68" s="26"/>
    </row>
    <row r="69" spans="1:1" x14ac:dyDescent="0.25">
      <c r="A69" s="26"/>
    </row>
    <row r="70" spans="1:1" x14ac:dyDescent="0.25">
      <c r="A70" s="26"/>
    </row>
    <row r="71" spans="1:1" x14ac:dyDescent="0.25">
      <c r="A71" s="26"/>
    </row>
    <row r="72" spans="1:1" x14ac:dyDescent="0.25">
      <c r="A72" s="26"/>
    </row>
    <row r="73" spans="1:1" x14ac:dyDescent="0.25">
      <c r="A73" s="26"/>
    </row>
    <row r="74" spans="1:1" x14ac:dyDescent="0.25">
      <c r="A74" s="26"/>
    </row>
    <row r="75" spans="1:1" x14ac:dyDescent="0.25">
      <c r="A75" s="26"/>
    </row>
    <row r="76" spans="1:1" x14ac:dyDescent="0.25">
      <c r="A76" s="26"/>
    </row>
    <row r="77" spans="1:1" x14ac:dyDescent="0.25">
      <c r="A77" s="26"/>
    </row>
    <row r="78" spans="1:1" x14ac:dyDescent="0.25">
      <c r="A78" s="26"/>
    </row>
    <row r="79" spans="1:1" x14ac:dyDescent="0.25">
      <c r="A79" s="26"/>
    </row>
    <row r="80" spans="1:1" x14ac:dyDescent="0.25">
      <c r="A80" s="26"/>
    </row>
    <row r="81" spans="1:1" x14ac:dyDescent="0.25">
      <c r="A81" s="26"/>
    </row>
    <row r="82" spans="1:1" x14ac:dyDescent="0.25">
      <c r="A82" s="26"/>
    </row>
    <row r="83" spans="1:1" x14ac:dyDescent="0.25">
      <c r="A83" s="26"/>
    </row>
    <row r="84" spans="1:1" x14ac:dyDescent="0.25">
      <c r="A84" s="26"/>
    </row>
    <row r="85" spans="1:1" x14ac:dyDescent="0.25">
      <c r="A85" s="26"/>
    </row>
    <row r="86" spans="1:1" x14ac:dyDescent="0.25">
      <c r="A86" s="26"/>
    </row>
    <row r="87" spans="1:1" x14ac:dyDescent="0.25">
      <c r="A87" s="26"/>
    </row>
    <row r="88" spans="1:1" x14ac:dyDescent="0.25">
      <c r="A88" s="26"/>
    </row>
    <row r="89" spans="1:1" x14ac:dyDescent="0.25">
      <c r="A89" s="26"/>
    </row>
    <row r="90" spans="1:1" x14ac:dyDescent="0.25">
      <c r="A90" s="26"/>
    </row>
    <row r="91" spans="1:1" x14ac:dyDescent="0.25">
      <c r="A91" s="26"/>
    </row>
    <row r="92" spans="1:1" x14ac:dyDescent="0.25">
      <c r="A92" s="26"/>
    </row>
    <row r="93" spans="1:1" x14ac:dyDescent="0.25">
      <c r="A93" s="26"/>
    </row>
    <row r="94" spans="1:1" x14ac:dyDescent="0.25">
      <c r="A94" s="26"/>
    </row>
    <row r="95" spans="1:1" x14ac:dyDescent="0.25">
      <c r="A95" s="26"/>
    </row>
    <row r="96" spans="1:1" x14ac:dyDescent="0.25">
      <c r="A96" s="26"/>
    </row>
    <row r="97" spans="1:1" x14ac:dyDescent="0.25">
      <c r="A97" s="26"/>
    </row>
    <row r="98" spans="1:1" x14ac:dyDescent="0.25">
      <c r="A98" s="26"/>
    </row>
    <row r="99" spans="1:1" x14ac:dyDescent="0.25">
      <c r="A99" s="26"/>
    </row>
    <row r="100" spans="1:1" x14ac:dyDescent="0.25">
      <c r="A100" s="26"/>
    </row>
    <row r="101" spans="1:1" x14ac:dyDescent="0.25">
      <c r="A101" s="26"/>
    </row>
    <row r="102" spans="1:1" x14ac:dyDescent="0.25">
      <c r="A102" s="26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CDFD8-8C88-4381-86CB-5F38AD24D91F}">
  <dimension ref="A1:G76"/>
  <sheetViews>
    <sheetView tabSelected="1" zoomScale="80" zoomScaleNormal="80" workbookViewId="0">
      <selection sqref="A1:B76"/>
    </sheetView>
  </sheetViews>
  <sheetFormatPr defaultRowHeight="15" x14ac:dyDescent="0.25"/>
  <cols>
    <col min="2" max="2" width="17.5703125" bestFit="1" customWidth="1"/>
    <col min="4" max="4" width="14.140625" bestFit="1" customWidth="1"/>
  </cols>
  <sheetData>
    <row r="1" spans="1:7" ht="15.75" thickBot="1" x14ac:dyDescent="0.3">
      <c r="A1" s="19" t="s">
        <v>36</v>
      </c>
      <c r="B1" s="19" t="s">
        <v>38</v>
      </c>
      <c r="D1" s="3" t="s">
        <v>43</v>
      </c>
      <c r="E1" s="31"/>
      <c r="F1" s="31"/>
      <c r="G1" s="31"/>
    </row>
    <row r="2" spans="1:7" x14ac:dyDescent="0.25">
      <c r="A2" s="29">
        <v>44105</v>
      </c>
      <c r="B2" s="30">
        <v>8606.2999999999993</v>
      </c>
    </row>
    <row r="3" spans="1:7" x14ac:dyDescent="0.25">
      <c r="A3" s="29">
        <v>44136</v>
      </c>
      <c r="B3" s="30">
        <v>8569.9</v>
      </c>
    </row>
    <row r="4" spans="1:7" x14ac:dyDescent="0.25">
      <c r="A4" s="29">
        <v>44166</v>
      </c>
      <c r="B4" s="30">
        <v>9936</v>
      </c>
    </row>
    <row r="5" spans="1:7" x14ac:dyDescent="0.25">
      <c r="A5" s="29">
        <v>44197</v>
      </c>
      <c r="B5" s="30">
        <v>8534.7999999999993</v>
      </c>
    </row>
    <row r="6" spans="1:7" x14ac:dyDescent="0.25">
      <c r="A6" s="29">
        <v>44228</v>
      </c>
      <c r="B6" s="30">
        <v>8119.1</v>
      </c>
    </row>
    <row r="7" spans="1:7" x14ac:dyDescent="0.25">
      <c r="A7" s="29">
        <v>44256</v>
      </c>
      <c r="B7" s="30">
        <v>8736.6</v>
      </c>
    </row>
    <row r="8" spans="1:7" x14ac:dyDescent="0.25">
      <c r="A8" s="29">
        <v>44287</v>
      </c>
      <c r="B8" s="30">
        <v>8399.2000000000007</v>
      </c>
    </row>
    <row r="9" spans="1:7" x14ac:dyDescent="0.25">
      <c r="A9" s="29">
        <v>44317</v>
      </c>
      <c r="B9" s="30">
        <v>8450.7000000000007</v>
      </c>
    </row>
    <row r="10" spans="1:7" x14ac:dyDescent="0.25">
      <c r="A10" s="29">
        <v>44348</v>
      </c>
      <c r="B10" s="30">
        <v>8269.7000000000007</v>
      </c>
    </row>
    <row r="11" spans="1:7" x14ac:dyDescent="0.25">
      <c r="A11" s="29">
        <v>44378</v>
      </c>
      <c r="B11" s="30">
        <v>8500.4</v>
      </c>
    </row>
    <row r="12" spans="1:7" x14ac:dyDescent="0.25">
      <c r="A12" s="29">
        <v>44409</v>
      </c>
      <c r="B12" s="30">
        <v>8787.9</v>
      </c>
    </row>
    <row r="13" spans="1:7" x14ac:dyDescent="0.25">
      <c r="A13" s="29">
        <v>44440</v>
      </c>
      <c r="B13" s="30">
        <v>8582.7999999999993</v>
      </c>
    </row>
    <row r="14" spans="1:7" x14ac:dyDescent="0.25">
      <c r="A14" s="29">
        <v>44470</v>
      </c>
      <c r="B14" s="30">
        <v>8982</v>
      </c>
    </row>
    <row r="15" spans="1:7" x14ac:dyDescent="0.25">
      <c r="A15" s="29">
        <v>44501</v>
      </c>
      <c r="B15" s="30">
        <v>9048.5</v>
      </c>
    </row>
    <row r="16" spans="1:7" x14ac:dyDescent="0.25">
      <c r="A16" s="29">
        <v>44531</v>
      </c>
      <c r="B16" s="30">
        <v>10262.1</v>
      </c>
    </row>
    <row r="17" spans="1:2" x14ac:dyDescent="0.25">
      <c r="A17" s="29">
        <v>44562</v>
      </c>
      <c r="B17" s="30">
        <v>9067.6</v>
      </c>
    </row>
    <row r="18" spans="1:2" x14ac:dyDescent="0.25">
      <c r="A18" s="29">
        <v>44593</v>
      </c>
      <c r="B18" s="30">
        <v>8264.7999999999993</v>
      </c>
    </row>
    <row r="19" spans="1:2" x14ac:dyDescent="0.25">
      <c r="A19" s="29">
        <v>44621</v>
      </c>
      <c r="B19" s="30">
        <v>9272</v>
      </c>
    </row>
    <row r="20" spans="1:2" x14ac:dyDescent="0.25">
      <c r="A20" s="29">
        <v>44652</v>
      </c>
      <c r="B20" s="30">
        <v>8614.9</v>
      </c>
    </row>
    <row r="21" spans="1:2" x14ac:dyDescent="0.25">
      <c r="A21" s="29">
        <v>44682</v>
      </c>
      <c r="B21" s="30">
        <v>8876.5</v>
      </c>
    </row>
    <row r="22" spans="1:2" x14ac:dyDescent="0.25">
      <c r="A22" s="29">
        <v>44713</v>
      </c>
      <c r="B22" s="30">
        <v>8516.9</v>
      </c>
    </row>
    <row r="23" spans="1:2" x14ac:dyDescent="0.25">
      <c r="A23" s="29">
        <v>44743</v>
      </c>
      <c r="B23" s="30">
        <v>8855.7999999999993</v>
      </c>
    </row>
    <row r="24" spans="1:2" x14ac:dyDescent="0.25">
      <c r="A24" s="29">
        <v>44774</v>
      </c>
      <c r="B24" s="30">
        <v>9188.1</v>
      </c>
    </row>
    <row r="25" spans="1:2" x14ac:dyDescent="0.25">
      <c r="A25" s="29">
        <v>44805</v>
      </c>
      <c r="B25" s="30">
        <v>8839.1</v>
      </c>
    </row>
    <row r="26" spans="1:2" x14ac:dyDescent="0.25">
      <c r="A26" s="29">
        <v>44835</v>
      </c>
      <c r="B26" s="30">
        <v>9338.4</v>
      </c>
    </row>
    <row r="27" spans="1:2" x14ac:dyDescent="0.25">
      <c r="A27" s="29">
        <v>44866</v>
      </c>
      <c r="B27" s="30">
        <v>9345.9</v>
      </c>
    </row>
    <row r="28" spans="1:2" x14ac:dyDescent="0.25">
      <c r="A28" s="29">
        <v>44896</v>
      </c>
      <c r="B28" s="30">
        <v>10856.4</v>
      </c>
    </row>
    <row r="29" spans="1:2" x14ac:dyDescent="0.25">
      <c r="A29" s="29">
        <v>44927</v>
      </c>
      <c r="B29" s="30">
        <v>9701.6</v>
      </c>
    </row>
    <row r="30" spans="1:2" x14ac:dyDescent="0.25">
      <c r="A30" s="29">
        <v>44958</v>
      </c>
      <c r="B30" s="30">
        <v>8667.9</v>
      </c>
    </row>
    <row r="31" spans="1:2" x14ac:dyDescent="0.25">
      <c r="A31" s="29">
        <v>44986</v>
      </c>
      <c r="B31" s="30">
        <v>9524.6</v>
      </c>
    </row>
    <row r="32" spans="1:2" x14ac:dyDescent="0.25">
      <c r="A32" s="29">
        <v>45017</v>
      </c>
      <c r="B32" s="30">
        <v>9223.9</v>
      </c>
    </row>
    <row r="33" spans="1:2" x14ac:dyDescent="0.25">
      <c r="A33" s="29">
        <v>45047</v>
      </c>
      <c r="B33" s="30">
        <v>9386</v>
      </c>
    </row>
    <row r="34" spans="1:2" x14ac:dyDescent="0.25">
      <c r="A34" s="29">
        <v>45078</v>
      </c>
      <c r="B34" s="30">
        <v>8977.5</v>
      </c>
    </row>
    <row r="35" spans="1:2" x14ac:dyDescent="0.25">
      <c r="A35" s="29">
        <v>45108</v>
      </c>
      <c r="B35" s="30">
        <v>9393.2999999999993</v>
      </c>
    </row>
    <row r="36" spans="1:2" x14ac:dyDescent="0.25">
      <c r="A36" s="29">
        <v>45139</v>
      </c>
      <c r="B36" s="30">
        <v>9582.4</v>
      </c>
    </row>
    <row r="37" spans="1:2" x14ac:dyDescent="0.25">
      <c r="A37" s="29">
        <v>45170</v>
      </c>
      <c r="B37" s="30">
        <v>9353.7999999999993</v>
      </c>
    </row>
    <row r="38" spans="1:2" x14ac:dyDescent="0.25">
      <c r="A38" s="29">
        <v>45200</v>
      </c>
      <c r="B38" s="30">
        <v>9964.4</v>
      </c>
    </row>
    <row r="39" spans="1:2" x14ac:dyDescent="0.25">
      <c r="A39" s="29">
        <v>45231</v>
      </c>
      <c r="B39" s="30">
        <v>9911.1</v>
      </c>
    </row>
    <row r="40" spans="1:2" x14ac:dyDescent="0.25">
      <c r="A40" s="29">
        <v>45261</v>
      </c>
      <c r="B40" s="30">
        <v>11271.6</v>
      </c>
    </row>
    <row r="41" spans="1:2" x14ac:dyDescent="0.25">
      <c r="A41" s="29">
        <v>45292</v>
      </c>
      <c r="B41" s="30">
        <v>9955.4</v>
      </c>
    </row>
    <row r="42" spans="1:2" x14ac:dyDescent="0.25">
      <c r="A42" s="29">
        <v>45323</v>
      </c>
      <c r="B42" s="30">
        <v>9020</v>
      </c>
    </row>
    <row r="43" spans="1:2" x14ac:dyDescent="0.25">
      <c r="A43" s="29">
        <v>45352</v>
      </c>
      <c r="B43" s="30">
        <v>9926.5</v>
      </c>
    </row>
    <row r="44" spans="1:2" x14ac:dyDescent="0.25">
      <c r="A44" s="29">
        <v>45383</v>
      </c>
      <c r="B44" s="30">
        <v>9538</v>
      </c>
    </row>
    <row r="45" spans="1:2" x14ac:dyDescent="0.25">
      <c r="A45" s="29">
        <v>45413</v>
      </c>
      <c r="B45" s="30">
        <v>9707.1</v>
      </c>
    </row>
    <row r="46" spans="1:2" x14ac:dyDescent="0.25">
      <c r="A46" s="29">
        <v>45444</v>
      </c>
      <c r="B46" s="30">
        <v>9217.7999999999993</v>
      </c>
    </row>
    <row r="47" spans="1:2" x14ac:dyDescent="0.25">
      <c r="A47" s="29">
        <v>45474</v>
      </c>
      <c r="B47" s="30">
        <v>9718</v>
      </c>
    </row>
    <row r="48" spans="1:2" x14ac:dyDescent="0.25">
      <c r="A48" s="29">
        <v>45505</v>
      </c>
      <c r="B48" s="30">
        <v>9834.7999999999993</v>
      </c>
    </row>
    <row r="49" spans="1:2" x14ac:dyDescent="0.25">
      <c r="A49" s="29">
        <v>45536</v>
      </c>
      <c r="B49" s="30">
        <v>9645.7999999999993</v>
      </c>
    </row>
    <row r="50" spans="1:2" x14ac:dyDescent="0.25">
      <c r="A50" s="29">
        <v>45566</v>
      </c>
      <c r="B50" s="30">
        <v>10319.200000000001</v>
      </c>
    </row>
    <row r="51" spans="1:2" x14ac:dyDescent="0.25">
      <c r="A51" s="29">
        <v>45597</v>
      </c>
      <c r="B51" s="30">
        <v>10128.5</v>
      </c>
    </row>
    <row r="52" spans="1:2" x14ac:dyDescent="0.25">
      <c r="A52" s="29">
        <v>45627</v>
      </c>
      <c r="B52" s="30">
        <v>11731.2</v>
      </c>
    </row>
    <row r="53" spans="1:2" x14ac:dyDescent="0.25">
      <c r="A53" s="29">
        <v>45658</v>
      </c>
      <c r="B53" s="30">
        <v>10244.9</v>
      </c>
    </row>
    <row r="54" spans="1:2" x14ac:dyDescent="0.25">
      <c r="A54" s="29">
        <v>45689</v>
      </c>
      <c r="B54" s="30">
        <v>9556.9</v>
      </c>
    </row>
    <row r="55" spans="1:2" x14ac:dyDescent="0.25">
      <c r="A55" s="29">
        <v>45717</v>
      </c>
      <c r="B55" s="30">
        <v>10354</v>
      </c>
    </row>
    <row r="56" spans="1:2" x14ac:dyDescent="0.25">
      <c r="A56" s="29">
        <v>45748</v>
      </c>
      <c r="B56" s="30">
        <v>9727.9</v>
      </c>
    </row>
    <row r="57" spans="1:2" x14ac:dyDescent="0.25">
      <c r="A57" s="29">
        <v>45778</v>
      </c>
      <c r="B57" s="30">
        <v>9815.2000000000007</v>
      </c>
    </row>
    <row r="58" spans="1:2" x14ac:dyDescent="0.25">
      <c r="A58" s="29">
        <v>45809</v>
      </c>
      <c r="B58" s="30">
        <v>9516.5</v>
      </c>
    </row>
    <row r="59" spans="1:2" x14ac:dyDescent="0.25">
      <c r="A59" s="29">
        <v>45839</v>
      </c>
      <c r="B59" s="30">
        <v>9928.5</v>
      </c>
    </row>
    <row r="60" spans="1:2" x14ac:dyDescent="0.25">
      <c r="A60" s="29">
        <v>45870</v>
      </c>
      <c r="B60" s="30">
        <v>10041.9</v>
      </c>
    </row>
    <row r="61" spans="1:2" x14ac:dyDescent="0.25">
      <c r="A61" s="29">
        <v>45901</v>
      </c>
      <c r="B61" s="30">
        <v>10005.700000000001</v>
      </c>
    </row>
    <row r="62" spans="1:2" x14ac:dyDescent="0.25">
      <c r="A62" s="29">
        <v>45931</v>
      </c>
      <c r="B62" s="30">
        <v>10482.6</v>
      </c>
    </row>
    <row r="63" spans="1:2" x14ac:dyDescent="0.25">
      <c r="A63" s="29">
        <v>45962</v>
      </c>
      <c r="B63" s="30">
        <v>10435.700000000001</v>
      </c>
    </row>
    <row r="64" spans="1:2" x14ac:dyDescent="0.25">
      <c r="A64" s="29">
        <v>45992</v>
      </c>
      <c r="B64" s="30">
        <v>12230.1</v>
      </c>
    </row>
    <row r="65" spans="1:1" x14ac:dyDescent="0.25">
      <c r="A65" s="29">
        <v>46023</v>
      </c>
    </row>
    <row r="66" spans="1:1" x14ac:dyDescent="0.25">
      <c r="A66" s="29">
        <v>46054</v>
      </c>
    </row>
    <row r="67" spans="1:1" x14ac:dyDescent="0.25">
      <c r="A67" s="29">
        <v>46082</v>
      </c>
    </row>
    <row r="68" spans="1:1" x14ac:dyDescent="0.25">
      <c r="A68" s="29">
        <v>46113</v>
      </c>
    </row>
    <row r="69" spans="1:1" x14ac:dyDescent="0.25">
      <c r="A69" s="29">
        <v>46143</v>
      </c>
    </row>
    <row r="70" spans="1:1" x14ac:dyDescent="0.25">
      <c r="A70" s="29">
        <v>46174</v>
      </c>
    </row>
    <row r="71" spans="1:1" x14ac:dyDescent="0.25">
      <c r="A71" s="29">
        <v>46204</v>
      </c>
    </row>
    <row r="72" spans="1:1" x14ac:dyDescent="0.25">
      <c r="A72" s="29">
        <v>46235</v>
      </c>
    </row>
    <row r="73" spans="1:1" x14ac:dyDescent="0.25">
      <c r="A73" s="29">
        <v>46266</v>
      </c>
    </row>
    <row r="74" spans="1:1" x14ac:dyDescent="0.25">
      <c r="A74" s="29">
        <v>46296</v>
      </c>
    </row>
    <row r="75" spans="1:1" x14ac:dyDescent="0.25">
      <c r="A75" s="29">
        <v>46327</v>
      </c>
    </row>
    <row r="76" spans="1:1" x14ac:dyDescent="0.25">
      <c r="A76" s="29">
        <v>46357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82c514c1-a717-4087-be06-d40d2070ad52}" enabled="0" method="" siteId="{82c514c1-a717-4087-be06-d40d2070ad5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Cities</vt:lpstr>
      <vt:lpstr>Agents</vt:lpstr>
      <vt:lpstr>Burger Sales</vt:lpstr>
      <vt:lpstr>Grocery Sales</vt:lpstr>
      <vt:lpstr>MQD</vt:lpstr>
      <vt:lpstr>Food Retail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 Karunaratne</dc:creator>
  <cp:lastModifiedBy>Bryan Johns</cp:lastModifiedBy>
  <dcterms:created xsi:type="dcterms:W3CDTF">2025-04-16T05:55:57Z</dcterms:created>
  <dcterms:modified xsi:type="dcterms:W3CDTF">2025-12-21T06:05:48Z</dcterms:modified>
</cp:coreProperties>
</file>