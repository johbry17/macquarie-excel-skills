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br\Data-Analyst\Projects\macquarie-excel-skills\Statistics_and_Data_Analysis_with_Excel\Assessment\"/>
    </mc:Choice>
  </mc:AlternateContent>
  <xr:revisionPtr revIDLastSave="0" documentId="13_ncr:1_{EEF5224A-CFCE-431A-AD9D-F0F16C91B2E1}" xr6:coauthVersionLast="47" xr6:coauthVersionMax="47" xr10:uidLastSave="{00000000-0000-0000-0000-000000000000}"/>
  <bookViews>
    <workbookView xWindow="4005" yWindow="2250" windowWidth="21600" windowHeight="11835" activeTab="2" xr2:uid="{CDAA961D-D360-4EB9-940C-65B94DAF6D2D}"/>
  </bookViews>
  <sheets>
    <sheet name="Cities" sheetId="2" r:id="rId1"/>
    <sheet name="Agents" sheetId="3" r:id="rId2"/>
    <sheet name="Burger Sales" sheetId="4" r:id="rId3"/>
    <sheet name="Grocery Sales" sheetId="5" r:id="rId4"/>
    <sheet name="MQD" sheetId="6" r:id="rId5"/>
    <sheet name="Food Retail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6" l="1"/>
  <c r="C5" i="6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3" i="6"/>
</calcChain>
</file>

<file path=xl/sharedStrings.xml><?xml version="1.0" encoding="utf-8"?>
<sst xmlns="http://schemas.openxmlformats.org/spreadsheetml/2006/main" count="218" uniqueCount="98">
  <si>
    <t>London</t>
  </si>
  <si>
    <t>Hong Kong</t>
  </si>
  <si>
    <t>Sydney</t>
  </si>
  <si>
    <t>The monthly spend for the month of June across a sample of customers</t>
  </si>
  <si>
    <t>Abigail</t>
  </si>
  <si>
    <t>Ahmed</t>
  </si>
  <si>
    <t>Adam</t>
  </si>
  <si>
    <t>Scenario 2</t>
  </si>
  <si>
    <t>Scenario 1</t>
  </si>
  <si>
    <t>Store</t>
  </si>
  <si>
    <t>Price ($)</t>
  </si>
  <si>
    <t>Advertising ($ '000s)</t>
  </si>
  <si>
    <t>Sales (units '000s)</t>
  </si>
  <si>
    <t>Macquarie Park</t>
  </si>
  <si>
    <t>North Ryde</t>
  </si>
  <si>
    <t>Marsfield</t>
  </si>
  <si>
    <t>Eastwood</t>
  </si>
  <si>
    <t>Epping</t>
  </si>
  <si>
    <t>Denistone</t>
  </si>
  <si>
    <t>Lane Cove</t>
  </si>
  <si>
    <t>Killara</t>
  </si>
  <si>
    <t>Gordon</t>
  </si>
  <si>
    <t>Lindfield</t>
  </si>
  <si>
    <t>Carlingford</t>
  </si>
  <si>
    <t>Beecroft</t>
  </si>
  <si>
    <t>Cheltenham</t>
  </si>
  <si>
    <t>Ryde</t>
  </si>
  <si>
    <t>Pymble</t>
  </si>
  <si>
    <t xml:space="preserve">Advertising (X) ($ '000s) </t>
  </si>
  <si>
    <t>Dummy</t>
  </si>
  <si>
    <t>City</t>
  </si>
  <si>
    <t>Bella Vista</t>
  </si>
  <si>
    <t>Berwick</t>
  </si>
  <si>
    <t>Melbourne</t>
  </si>
  <si>
    <t>Bundoora</t>
  </si>
  <si>
    <t>Chadstone</t>
  </si>
  <si>
    <t>Claremont Meadows</t>
  </si>
  <si>
    <t>Glen Waverley</t>
  </si>
  <si>
    <t>Glenwood</t>
  </si>
  <si>
    <t>Toorak</t>
  </si>
  <si>
    <t>Date</t>
  </si>
  <si>
    <t>MQD</t>
  </si>
  <si>
    <t>Food Sales (m)</t>
  </si>
  <si>
    <t>Grocery Sales (Y) ($ m)</t>
  </si>
  <si>
    <t>The number of VIP customers (signed up) across three cities by three agents across a single week</t>
  </si>
  <si>
    <t>Burger Sales across a chain of stores</t>
  </si>
  <si>
    <t>Grocery Sales across a chain of stores</t>
  </si>
  <si>
    <t>The MQD exchange rate agains the USD</t>
  </si>
  <si>
    <t>Food Retail across Australia over time</t>
  </si>
  <si>
    <t>The number of new customers (signed up) across three cities by three employees across each working day of a week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</si>
  <si>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</si>
  <si>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</si>
  <si>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</si>
  <si>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</si>
  <si>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</si>
  <si>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</si>
  <si>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</si>
  <si>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</si>
  <si>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</si>
  <si>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</si>
  <si>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</si>
  <si>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</si>
  <si>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</si>
  <si>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</si>
  <si>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</si>
  <si>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</si>
  <si>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</si>
  <si>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</si>
  <si>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Anova: Two-Factor With Replication</t>
  </si>
  <si>
    <t>Sample</t>
  </si>
  <si>
    <t>Columns</t>
  </si>
  <si>
    <t>Interaction</t>
  </si>
  <si>
    <t>Within</t>
  </si>
  <si>
    <t>Anova: Two-Factor Without Replication</t>
  </si>
  <si>
    <t>Rows</t>
  </si>
  <si>
    <t>Error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</si>
  <si>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</si>
  <si>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</si>
  <si>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</si>
  <si>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</si>
  <si>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</si>
  <si>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</si>
  <si>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</si>
  <si>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Regression</t>
  </si>
  <si>
    <t>Residual</t>
  </si>
  <si>
    <t>Intercept</t>
  </si>
  <si>
    <t>Significance F</t>
  </si>
  <si>
    <t>Coefficients</t>
  </si>
  <si>
    <t>t Stat</t>
  </si>
  <si>
    <t>Lower 95%</t>
  </si>
  <si>
    <t>Upper 95%</t>
  </si>
  <si>
    <t>Lower 95.0%</t>
  </si>
  <si>
    <t>Upper 95.0%</t>
  </si>
  <si>
    <t>RESIDUAL OUTPUT</t>
  </si>
  <si>
    <t>Observation</t>
  </si>
  <si>
    <t>Predicted Sales (units '000s)</t>
  </si>
  <si>
    <t>Residuals</t>
  </si>
  <si>
    <t>Predicted Grocery Sales (Y) ($ 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</si>
</sst>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dd\ mmm\ yyyy"/>
    <numFmt numFmtId="166" formatCode="0.000"/>
    <numFmt numFmtId="167" formatCode="mmm\-yyyy"/>
    <numFmt numFmtId="168" formatCode="0;\-0;0;@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name val="Arial"/>
      <family val="2"/>
    </font>
    <font>
      <sz val="8"/>
      <name val="Arial"/>
      <family val="2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2" borderId="3" xfId="0" applyFont="1" applyFill="1" applyBorder="1"/>
    <xf numFmtId="0" fontId="0" fillId="2" borderId="4" xfId="0" applyFill="1" applyBorder="1"/>
    <xf numFmtId="0" fontId="0" fillId="2" borderId="5" xfId="0" applyFill="1" applyBorder="1"/>
    <xf numFmtId="0" fontId="1" fillId="0" borderId="0" xfId="0" applyFont="1"/>
    <xf numFmtId="0" fontId="1" fillId="0" borderId="6" xfId="0" applyFont="1" applyBorder="1"/>
    <xf numFmtId="0" fontId="1" fillId="0" borderId="7" xfId="0" applyFont="1" applyBorder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0" fillId="0" borderId="8" xfId="0" applyBorder="1"/>
    <xf numFmtId="0" fontId="0" fillId="0" borderId="9" xfId="0" applyBorder="1"/>
    <xf numFmtId="0" fontId="1" fillId="0" borderId="3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10" xfId="0" applyFont="1" applyBorder="1"/>
    <xf numFmtId="0" fontId="0" fillId="0" borderId="10" xfId="0" applyBorder="1"/>
    <xf numFmtId="0" fontId="0" fillId="0" borderId="11" xfId="0" applyBorder="1"/>
    <xf numFmtId="0" fontId="1" fillId="0" borderId="0" xfId="0" applyFont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1"/>
    <xf numFmtId="165" fontId="2" fillId="0" borderId="0" xfId="1" applyNumberFormat="1"/>
    <xf numFmtId="166" fontId="2" fillId="0" borderId="0" xfId="1" applyNumberFormat="1"/>
    <xf numFmtId="166" fontId="0" fillId="0" borderId="0" xfId="0" applyNumberFormat="1"/>
    <xf numFmtId="167" fontId="3" fillId="0" borderId="0" xfId="0" applyNumberFormat="1" applyFont="1" applyAlignment="1">
      <alignment horizontal="right"/>
    </xf>
    <xf numFmtId="168" fontId="4" fillId="0" borderId="0" xfId="0" applyNumberFormat="1" applyFont="1"/>
    <xf numFmtId="0" fontId="0" fillId="2" borderId="0" xfId="0" applyFill="1"/>
    <xf numFmtId="0" fontId="1" fillId="2" borderId="0" xfId="0" applyFont="1" applyFill="1"/>
    <xf numFmtId="0" fontId="2" fillId="2" borderId="0" xfId="1" applyFill="1"/>
    <xf numFmtId="0" fontId="0" fillId="0" borderId="0" xfId="0" applyFill="1" applyBorder="1" applyAlignment="1"/>
    <xf numFmtId="0" fontId="0" fillId="0" borderId="12" xfId="0" applyFill="1" applyBorder="1" applyAlignment="1"/>
    <xf numFmtId="0" fontId="5" fillId="0" borderId="13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right"/>
    </xf>
    <xf numFmtId="0" fontId="5" fillId="0" borderId="13" xfId="0" applyFont="1" applyFill="1" applyBorder="1" applyAlignment="1">
      <alignment horizontal="centerContinuous"/>
    </xf>
  </cellXfs>
  <cellStyles count="2">
    <cellStyle name="Normal" xfId="0" builtinId="0"/>
    <cellStyle name="Normal 2" xfId="1" xr:uid="{A68EB95C-541C-4426-A60E-BDC8B64A69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'Grocery Sales'!$D$2:$D$11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xVal>
          <c:yVal>
            <c:numRef>
              <c:f>'Grocery Sales'!$C$2:$C$11</c:f>
              <c:numCache>
                <c:formatCode>General</c:formatCode>
                <c:ptCount val="10"/>
                <c:pt idx="0">
                  <c:v>4</c:v>
                </c:pt>
                <c:pt idx="1">
                  <c:v>14</c:v>
                </c:pt>
                <c:pt idx="2">
                  <c:v>15</c:v>
                </c:pt>
                <c:pt idx="3">
                  <c:v>11</c:v>
                </c:pt>
                <c:pt idx="4">
                  <c:v>8</c:v>
                </c:pt>
                <c:pt idx="5">
                  <c:v>21</c:v>
                </c:pt>
                <c:pt idx="6">
                  <c:v>6</c:v>
                </c:pt>
                <c:pt idx="7">
                  <c:v>9</c:v>
                </c:pt>
                <c:pt idx="8">
                  <c:v>5</c:v>
                </c:pt>
                <c:pt idx="9">
                  <c:v>14</c:v>
                </c:pt>
              </c:numCache>
            </c:numRef>
          </c:yVal>
          <c:bubbleSize>
            <c:numRef>
              <c:f>'Grocery Sales'!$B$2:$B$11</c:f>
              <c:numCache>
                <c:formatCode>General</c:formatCode>
                <c:ptCount val="10"/>
                <c:pt idx="0">
                  <c:v>5</c:v>
                </c:pt>
                <c:pt idx="1">
                  <c:v>19</c:v>
                </c:pt>
                <c:pt idx="2">
                  <c:v>20</c:v>
                </c:pt>
                <c:pt idx="3">
                  <c:v>19</c:v>
                </c:pt>
                <c:pt idx="4">
                  <c:v>10</c:v>
                </c:pt>
                <c:pt idx="5">
                  <c:v>25</c:v>
                </c:pt>
                <c:pt idx="6">
                  <c:v>6</c:v>
                </c:pt>
                <c:pt idx="7">
                  <c:v>13</c:v>
                </c:pt>
                <c:pt idx="8">
                  <c:v>5</c:v>
                </c:pt>
                <c:pt idx="9">
                  <c:v>21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2385-4BA3-807A-B21C88FFD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729439231"/>
        <c:axId val="1729433951"/>
      </c:bubbleChart>
      <c:valAx>
        <c:axId val="172943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433951"/>
        <c:crosses val="autoZero"/>
        <c:crossBetween val="midCat"/>
      </c:valAx>
      <c:valAx>
        <c:axId val="172943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439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MQD!$B$1</c:f>
              <c:strCache>
                <c:ptCount val="1"/>
                <c:pt idx="0">
                  <c:v>MQD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MQD!$A$2:$A$50</c:f>
              <c:numCache>
                <c:formatCode>dd\ mmm\ yyyy</c:formatCode>
                <c:ptCount val="49"/>
                <c:pt idx="0">
                  <c:v>45924</c:v>
                </c:pt>
                <c:pt idx="1">
                  <c:v>45925</c:v>
                </c:pt>
                <c:pt idx="2">
                  <c:v>45926</c:v>
                </c:pt>
                <c:pt idx="3">
                  <c:v>45927</c:v>
                </c:pt>
                <c:pt idx="4">
                  <c:v>45928</c:v>
                </c:pt>
                <c:pt idx="5">
                  <c:v>45929</c:v>
                </c:pt>
                <c:pt idx="6">
                  <c:v>45930</c:v>
                </c:pt>
                <c:pt idx="7">
                  <c:v>45931</c:v>
                </c:pt>
                <c:pt idx="8">
                  <c:v>45932</c:v>
                </c:pt>
                <c:pt idx="9">
                  <c:v>45933</c:v>
                </c:pt>
                <c:pt idx="10">
                  <c:v>45934</c:v>
                </c:pt>
                <c:pt idx="11">
                  <c:v>45935</c:v>
                </c:pt>
                <c:pt idx="12">
                  <c:v>45936</c:v>
                </c:pt>
                <c:pt idx="13">
                  <c:v>45937</c:v>
                </c:pt>
                <c:pt idx="14">
                  <c:v>45938</c:v>
                </c:pt>
                <c:pt idx="15">
                  <c:v>45939</c:v>
                </c:pt>
                <c:pt idx="16">
                  <c:v>45940</c:v>
                </c:pt>
                <c:pt idx="17">
                  <c:v>45941</c:v>
                </c:pt>
                <c:pt idx="18">
                  <c:v>45942</c:v>
                </c:pt>
                <c:pt idx="19">
                  <c:v>45943</c:v>
                </c:pt>
                <c:pt idx="20">
                  <c:v>45944</c:v>
                </c:pt>
                <c:pt idx="21">
                  <c:v>45945</c:v>
                </c:pt>
                <c:pt idx="22">
                  <c:v>45946</c:v>
                </c:pt>
                <c:pt idx="23">
                  <c:v>45947</c:v>
                </c:pt>
                <c:pt idx="24">
                  <c:v>45948</c:v>
                </c:pt>
                <c:pt idx="25">
                  <c:v>45949</c:v>
                </c:pt>
                <c:pt idx="26">
                  <c:v>45950</c:v>
                </c:pt>
                <c:pt idx="27">
                  <c:v>45951</c:v>
                </c:pt>
                <c:pt idx="28">
                  <c:v>45952</c:v>
                </c:pt>
                <c:pt idx="29">
                  <c:v>45953</c:v>
                </c:pt>
                <c:pt idx="30">
                  <c:v>45954</c:v>
                </c:pt>
                <c:pt idx="31">
                  <c:v>45955</c:v>
                </c:pt>
                <c:pt idx="32">
                  <c:v>45956</c:v>
                </c:pt>
                <c:pt idx="33">
                  <c:v>45957</c:v>
                </c:pt>
                <c:pt idx="34">
                  <c:v>45958</c:v>
                </c:pt>
                <c:pt idx="35">
                  <c:v>45959</c:v>
                </c:pt>
                <c:pt idx="36">
                  <c:v>45960</c:v>
                </c:pt>
                <c:pt idx="37">
                  <c:v>45961</c:v>
                </c:pt>
                <c:pt idx="38">
                  <c:v>45962</c:v>
                </c:pt>
                <c:pt idx="39">
                  <c:v>45963</c:v>
                </c:pt>
                <c:pt idx="40">
                  <c:v>45964</c:v>
                </c:pt>
                <c:pt idx="41">
                  <c:v>45965</c:v>
                </c:pt>
                <c:pt idx="42">
                  <c:v>45966</c:v>
                </c:pt>
              </c:numCache>
            </c:numRef>
          </c:cat>
          <c:val>
            <c:numRef>
              <c:f>MQD!$B$2:$B$50</c:f>
              <c:numCache>
                <c:formatCode>0.000</c:formatCode>
                <c:ptCount val="49"/>
                <c:pt idx="0">
                  <c:v>0.26397745101381659</c:v>
                </c:pt>
                <c:pt idx="1">
                  <c:v>0.52315913371441403</c:v>
                </c:pt>
                <c:pt idx="2">
                  <c:v>0.57892090256739914</c:v>
                </c:pt>
                <c:pt idx="3">
                  <c:v>0.6152836372117988</c:v>
                </c:pt>
                <c:pt idx="4">
                  <c:v>0.79566229158084323</c:v>
                </c:pt>
                <c:pt idx="5">
                  <c:v>0.59613105626323537</c:v>
                </c:pt>
                <c:pt idx="6">
                  <c:v>0.34915543995715986</c:v>
                </c:pt>
                <c:pt idx="7">
                  <c:v>0.23043056123044139</c:v>
                </c:pt>
                <c:pt idx="8">
                  <c:v>0.48397769248989625</c:v>
                </c:pt>
                <c:pt idx="9">
                  <c:v>0.47689588243400938</c:v>
                </c:pt>
                <c:pt idx="10">
                  <c:v>0.36739856722659425</c:v>
                </c:pt>
                <c:pt idx="11">
                  <c:v>0.42969518787093186</c:v>
                </c:pt>
                <c:pt idx="12">
                  <c:v>0.68757178924447848</c:v>
                </c:pt>
                <c:pt idx="13">
                  <c:v>0.38659027341654711</c:v>
                </c:pt>
                <c:pt idx="14">
                  <c:v>0.33636361025981998</c:v>
                </c:pt>
                <c:pt idx="15">
                  <c:v>0.51465820474901114</c:v>
                </c:pt>
                <c:pt idx="16">
                  <c:v>0.29540760281636652</c:v>
                </c:pt>
                <c:pt idx="17">
                  <c:v>0.4200678458766901</c:v>
                </c:pt>
                <c:pt idx="18">
                  <c:v>0.28835621107932369</c:v>
                </c:pt>
                <c:pt idx="19">
                  <c:v>0.33401541780577015</c:v>
                </c:pt>
                <c:pt idx="20">
                  <c:v>0.51761638556972334</c:v>
                </c:pt>
                <c:pt idx="21">
                  <c:v>0.4954579281873851</c:v>
                </c:pt>
                <c:pt idx="22">
                  <c:v>0.3053376022542868</c:v>
                </c:pt>
                <c:pt idx="23">
                  <c:v>0.25188531086551746</c:v>
                </c:pt>
                <c:pt idx="24">
                  <c:v>0.4269235781657727</c:v>
                </c:pt>
                <c:pt idx="25">
                  <c:v>0.22720481947456747</c:v>
                </c:pt>
                <c:pt idx="26">
                  <c:v>0.17474501729583575</c:v>
                </c:pt>
                <c:pt idx="27">
                  <c:v>0.5428896768469893</c:v>
                </c:pt>
                <c:pt idx="28">
                  <c:v>0.38459123259797218</c:v>
                </c:pt>
                <c:pt idx="29">
                  <c:v>0.20689052063270844</c:v>
                </c:pt>
                <c:pt idx="30">
                  <c:v>0.56283243027739727</c:v>
                </c:pt>
                <c:pt idx="31">
                  <c:v>0.29951396366088506</c:v>
                </c:pt>
                <c:pt idx="32">
                  <c:v>0.45497005349914577</c:v>
                </c:pt>
                <c:pt idx="33">
                  <c:v>0.26275248678849744</c:v>
                </c:pt>
                <c:pt idx="34">
                  <c:v>0.41564704765789862</c:v>
                </c:pt>
                <c:pt idx="35">
                  <c:v>0.23074248257796204</c:v>
                </c:pt>
                <c:pt idx="36">
                  <c:v>0.5640985693248679</c:v>
                </c:pt>
                <c:pt idx="37">
                  <c:v>0.29331241593714197</c:v>
                </c:pt>
                <c:pt idx="38">
                  <c:v>0.32624798270759159</c:v>
                </c:pt>
                <c:pt idx="39">
                  <c:v>0.1976668611668933</c:v>
                </c:pt>
                <c:pt idx="40">
                  <c:v>0.30745529741519406</c:v>
                </c:pt>
                <c:pt idx="41">
                  <c:v>0.31586961926546503</c:v>
                </c:pt>
                <c:pt idx="42">
                  <c:v>0.3858229065076012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98-4A6B-AAEC-1763C4DB0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5354064"/>
        <c:axId val="1265344496"/>
      </c:lineChart>
      <c:dateAx>
        <c:axId val="1265354064"/>
        <c:scaling>
          <c:orientation val="minMax"/>
        </c:scaling>
        <c:delete val="0"/>
        <c:axPos val="b"/>
        <c:numFmt formatCode="dd\ 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344496"/>
        <c:crosses val="autoZero"/>
        <c:auto val="1"/>
        <c:lblOffset val="100"/>
        <c:baseTimeUnit val="days"/>
      </c:dateAx>
      <c:valAx>
        <c:axId val="126534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35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MQD!$B$2:$B$44</c:f>
              <c:numCache>
                <c:formatCode>0.000</c:formatCode>
                <c:ptCount val="43"/>
                <c:pt idx="0">
                  <c:v>0.26397745101381659</c:v>
                </c:pt>
                <c:pt idx="1">
                  <c:v>0.52315913371441403</c:v>
                </c:pt>
                <c:pt idx="2">
                  <c:v>0.57892090256739914</c:v>
                </c:pt>
                <c:pt idx="3">
                  <c:v>0.6152836372117988</c:v>
                </c:pt>
                <c:pt idx="4">
                  <c:v>0.79566229158084323</c:v>
                </c:pt>
                <c:pt idx="5">
                  <c:v>0.59613105626323537</c:v>
                </c:pt>
                <c:pt idx="6">
                  <c:v>0.34915543995715986</c:v>
                </c:pt>
                <c:pt idx="7">
                  <c:v>0.23043056123044139</c:v>
                </c:pt>
                <c:pt idx="8">
                  <c:v>0.48397769248989625</c:v>
                </c:pt>
                <c:pt idx="9">
                  <c:v>0.47689588243400938</c:v>
                </c:pt>
                <c:pt idx="10">
                  <c:v>0.36739856722659425</c:v>
                </c:pt>
                <c:pt idx="11">
                  <c:v>0.42969518787093186</c:v>
                </c:pt>
                <c:pt idx="12">
                  <c:v>0.68757178924447848</c:v>
                </c:pt>
                <c:pt idx="13">
                  <c:v>0.38659027341654711</c:v>
                </c:pt>
                <c:pt idx="14">
                  <c:v>0.33636361025981998</c:v>
                </c:pt>
                <c:pt idx="15">
                  <c:v>0.51465820474901114</c:v>
                </c:pt>
                <c:pt idx="16">
                  <c:v>0.29540760281636652</c:v>
                </c:pt>
                <c:pt idx="17">
                  <c:v>0.4200678458766901</c:v>
                </c:pt>
                <c:pt idx="18">
                  <c:v>0.28835621107932369</c:v>
                </c:pt>
                <c:pt idx="19">
                  <c:v>0.33401541780577015</c:v>
                </c:pt>
                <c:pt idx="20">
                  <c:v>0.51761638556972334</c:v>
                </c:pt>
                <c:pt idx="21">
                  <c:v>0.4954579281873851</c:v>
                </c:pt>
                <c:pt idx="22">
                  <c:v>0.3053376022542868</c:v>
                </c:pt>
                <c:pt idx="23">
                  <c:v>0.25188531086551746</c:v>
                </c:pt>
                <c:pt idx="24">
                  <c:v>0.4269235781657727</c:v>
                </c:pt>
                <c:pt idx="25">
                  <c:v>0.22720481947456747</c:v>
                </c:pt>
                <c:pt idx="26">
                  <c:v>0.17474501729583575</c:v>
                </c:pt>
                <c:pt idx="27">
                  <c:v>0.5428896768469893</c:v>
                </c:pt>
                <c:pt idx="28">
                  <c:v>0.38459123259797218</c:v>
                </c:pt>
                <c:pt idx="29">
                  <c:v>0.20689052063270844</c:v>
                </c:pt>
                <c:pt idx="30">
                  <c:v>0.56283243027739727</c:v>
                </c:pt>
                <c:pt idx="31">
                  <c:v>0.29951396366088506</c:v>
                </c:pt>
                <c:pt idx="32">
                  <c:v>0.45497005349914577</c:v>
                </c:pt>
                <c:pt idx="33">
                  <c:v>0.26275248678849744</c:v>
                </c:pt>
                <c:pt idx="34">
                  <c:v>0.41564704765789862</c:v>
                </c:pt>
                <c:pt idx="35">
                  <c:v>0.23074248257796204</c:v>
                </c:pt>
                <c:pt idx="36">
                  <c:v>0.5640985693248679</c:v>
                </c:pt>
                <c:pt idx="37">
                  <c:v>0.29331241593714197</c:v>
                </c:pt>
                <c:pt idx="38">
                  <c:v>0.32624798270759159</c:v>
                </c:pt>
                <c:pt idx="39">
                  <c:v>0.1976668611668933</c:v>
                </c:pt>
                <c:pt idx="40">
                  <c:v>0.30745529741519406</c:v>
                </c:pt>
                <c:pt idx="41">
                  <c:v>0.31586961926546503</c:v>
                </c:pt>
                <c:pt idx="42">
                  <c:v>0.3858229065076012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D7-40E2-9E39-4B1DBCA460CB}"/>
            </c:ext>
          </c:extLst>
        </c:ser>
        <c:ser>
          <c:idx val="1"/>
          <c:order val="1"/>
          <c:tx>
            <c:v>Forecast</c:v>
          </c:tx>
          <c:val>
            <c:numRef>
              <c:f>MQD!$C$2:$C$44</c:f>
              <c:numCache>
                <c:formatCode>0.000</c:formatCode>
                <c:ptCount val="43"/>
                <c:pt idx="0" formatCode="General">
                  <c:v>#N/A</c:v>
                </c:pt>
                <c:pt idx="1">
                  <c:v>0.26397745101381659</c:v>
                </c:pt>
                <c:pt idx="2" formatCode="General">
                  <c:v>0.32877287168896596</c:v>
                </c:pt>
                <c:pt idx="3" formatCode="General">
                  <c:v>0.39130987940857426</c:v>
                </c:pt>
                <c:pt idx="4" formatCode="General">
                  <c:v>0.44730331885938035</c:v>
                </c:pt>
                <c:pt idx="5" formatCode="General">
                  <c:v>0.53439306203974601</c:v>
                </c:pt>
                <c:pt idx="6" formatCode="General">
                  <c:v>0.54982756059561844</c:v>
                </c:pt>
                <c:pt idx="7" formatCode="General">
                  <c:v>0.49965953043600381</c:v>
                </c:pt>
                <c:pt idx="8" formatCode="General">
                  <c:v>0.43235228813461318</c:v>
                </c:pt>
                <c:pt idx="9" formatCode="General">
                  <c:v>0.44525863922343395</c:v>
                </c:pt>
                <c:pt idx="10" formatCode="General">
                  <c:v>0.45316795002607779</c:v>
                </c:pt>
                <c:pt idx="11" formatCode="General">
                  <c:v>0.43172560432620688</c:v>
                </c:pt>
                <c:pt idx="12" formatCode="General">
                  <c:v>0.4312180002123881</c:v>
                </c:pt>
                <c:pt idx="13" formatCode="General">
                  <c:v>0.49530644747041064</c:v>
                </c:pt>
                <c:pt idx="14" formatCode="General">
                  <c:v>0.46812740395694474</c:v>
                </c:pt>
                <c:pt idx="15" formatCode="General">
                  <c:v>0.43518645553266355</c:v>
                </c:pt>
                <c:pt idx="16" formatCode="General">
                  <c:v>0.45505439283675048</c:v>
                </c:pt>
                <c:pt idx="17" formatCode="General">
                  <c:v>0.41514269533165449</c:v>
                </c:pt>
                <c:pt idx="18" formatCode="General">
                  <c:v>0.41637398296791339</c:v>
                </c:pt>
                <c:pt idx="19" formatCode="General">
                  <c:v>0.38436953999576595</c:v>
                </c:pt>
                <c:pt idx="20" formatCode="General">
                  <c:v>0.37178100944826703</c:v>
                </c:pt>
                <c:pt idx="21" formatCode="General">
                  <c:v>0.40823985347863112</c:v>
                </c:pt>
                <c:pt idx="22" formatCode="General">
                  <c:v>0.43004437215581959</c:v>
                </c:pt>
                <c:pt idx="23" formatCode="General">
                  <c:v>0.3988676796804364</c:v>
                </c:pt>
                <c:pt idx="24" formatCode="General">
                  <c:v>0.36212208747670666</c:v>
                </c:pt>
                <c:pt idx="25" formatCode="General">
                  <c:v>0.37832246014897319</c:v>
                </c:pt>
                <c:pt idx="26" formatCode="General">
                  <c:v>0.34054304998037177</c:v>
                </c:pt>
                <c:pt idx="27" formatCode="General">
                  <c:v>0.29909354180923781</c:v>
                </c:pt>
                <c:pt idx="28" formatCode="General">
                  <c:v>0.36004257556867569</c:v>
                </c:pt>
                <c:pt idx="29" formatCode="General">
                  <c:v>0.36617973982599977</c:v>
                </c:pt>
                <c:pt idx="30" formatCode="General">
                  <c:v>0.32635743502767695</c:v>
                </c:pt>
                <c:pt idx="31" formatCode="General">
                  <c:v>0.38547618384010701</c:v>
                </c:pt>
                <c:pt idx="32" formatCode="General">
                  <c:v>0.3639856287953015</c:v>
                </c:pt>
                <c:pt idx="33" formatCode="General">
                  <c:v>0.38673173497126256</c:v>
                </c:pt>
                <c:pt idx="34" formatCode="General">
                  <c:v>0.35573692292557124</c:v>
                </c:pt>
                <c:pt idx="35" formatCode="General">
                  <c:v>0.37071445410865306</c:v>
                </c:pt>
                <c:pt idx="36" formatCode="General">
                  <c:v>0.33572146122598029</c:v>
                </c:pt>
                <c:pt idx="37" formatCode="General">
                  <c:v>0.39281573825070221</c:v>
                </c:pt>
                <c:pt idx="38" formatCode="General">
                  <c:v>0.36793990767231211</c:v>
                </c:pt>
                <c:pt idx="39" formatCode="General">
                  <c:v>0.35751692643113198</c:v>
                </c:pt>
                <c:pt idx="40" formatCode="General">
                  <c:v>0.31755441011507229</c:v>
                </c:pt>
                <c:pt idx="41" formatCode="General">
                  <c:v>0.31502963194010275</c:v>
                </c:pt>
                <c:pt idx="42" formatCode="General">
                  <c:v>0.31523962877144335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D7-40E2-9E39-4B1DBCA46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9400351"/>
        <c:axId val="1729388351"/>
      </c:lineChart>
      <c:catAx>
        <c:axId val="1729400351"/>
        <c:scaling>
          <c:orientation val="minMax"/>
        </c:scaling>
        <c:delete val="0"/>
        <c:axPos val="b"/>
        <c:majorTickMark val="out"/>
        <c:minorTickMark val="none"/>
        <c:tickLblPos val="nextTo"/>
        <c:crossAx val="1729388351"/>
        <c:crosses val="autoZero"/>
        <c:auto val="1"/>
        <c:lblAlgn val="ctr"/>
        <c:lblOffset val="100"/>
        <c:noMultiLvlLbl val="0"/>
      </c:catAx>
      <c:valAx>
        <c:axId val="1729388351"/>
        <c:scaling>
          <c:orientation val="minMax"/>
        </c:scaling>
        <c:delete val="0"/>
        <c:axPos val="l"/>
        <c:numFmt formatCode="0.000" sourceLinked="1"/>
        <c:majorTickMark val="out"/>
        <c:minorTickMark val="none"/>
        <c:tickLblPos val="nextTo"/>
        <c:crossAx val="172940035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Exponential Smoothing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MQD!$B$2:$B$44</c:f>
              <c:numCache>
                <c:formatCode>0.000</c:formatCode>
                <c:ptCount val="43"/>
                <c:pt idx="0">
                  <c:v>0.26397745101381659</c:v>
                </c:pt>
                <c:pt idx="1">
                  <c:v>0.52315913371441403</c:v>
                </c:pt>
                <c:pt idx="2">
                  <c:v>0.57892090256739914</c:v>
                </c:pt>
                <c:pt idx="3">
                  <c:v>0.6152836372117988</c:v>
                </c:pt>
                <c:pt idx="4">
                  <c:v>0.79566229158084323</c:v>
                </c:pt>
                <c:pt idx="5">
                  <c:v>0.59613105626323537</c:v>
                </c:pt>
                <c:pt idx="6">
                  <c:v>0.34915543995715986</c:v>
                </c:pt>
                <c:pt idx="7">
                  <c:v>0.23043056123044139</c:v>
                </c:pt>
                <c:pt idx="8">
                  <c:v>0.48397769248989625</c:v>
                </c:pt>
                <c:pt idx="9">
                  <c:v>0.47689588243400938</c:v>
                </c:pt>
                <c:pt idx="10">
                  <c:v>0.36739856722659425</c:v>
                </c:pt>
                <c:pt idx="11">
                  <c:v>0.42969518787093186</c:v>
                </c:pt>
                <c:pt idx="12">
                  <c:v>0.68757178924447848</c:v>
                </c:pt>
                <c:pt idx="13">
                  <c:v>0.38659027341654711</c:v>
                </c:pt>
                <c:pt idx="14">
                  <c:v>0.33636361025981998</c:v>
                </c:pt>
                <c:pt idx="15">
                  <c:v>0.51465820474901114</c:v>
                </c:pt>
                <c:pt idx="16">
                  <c:v>0.29540760281636652</c:v>
                </c:pt>
                <c:pt idx="17">
                  <c:v>0.4200678458766901</c:v>
                </c:pt>
                <c:pt idx="18">
                  <c:v>0.28835621107932369</c:v>
                </c:pt>
                <c:pt idx="19">
                  <c:v>0.33401541780577015</c:v>
                </c:pt>
                <c:pt idx="20">
                  <c:v>0.51761638556972334</c:v>
                </c:pt>
                <c:pt idx="21">
                  <c:v>0.4954579281873851</c:v>
                </c:pt>
                <c:pt idx="22">
                  <c:v>0.3053376022542868</c:v>
                </c:pt>
                <c:pt idx="23">
                  <c:v>0.25188531086551746</c:v>
                </c:pt>
                <c:pt idx="24">
                  <c:v>0.4269235781657727</c:v>
                </c:pt>
                <c:pt idx="25">
                  <c:v>0.22720481947456747</c:v>
                </c:pt>
                <c:pt idx="26">
                  <c:v>0.17474501729583575</c:v>
                </c:pt>
                <c:pt idx="27">
                  <c:v>0.5428896768469893</c:v>
                </c:pt>
                <c:pt idx="28">
                  <c:v>0.38459123259797218</c:v>
                </c:pt>
                <c:pt idx="29">
                  <c:v>0.20689052063270844</c:v>
                </c:pt>
                <c:pt idx="30">
                  <c:v>0.56283243027739727</c:v>
                </c:pt>
                <c:pt idx="31">
                  <c:v>0.29951396366088506</c:v>
                </c:pt>
                <c:pt idx="32">
                  <c:v>0.45497005349914577</c:v>
                </c:pt>
                <c:pt idx="33">
                  <c:v>0.26275248678849744</c:v>
                </c:pt>
                <c:pt idx="34">
                  <c:v>0.41564704765789862</c:v>
                </c:pt>
                <c:pt idx="35">
                  <c:v>0.23074248257796204</c:v>
                </c:pt>
                <c:pt idx="36">
                  <c:v>0.5640985693248679</c:v>
                </c:pt>
                <c:pt idx="37">
                  <c:v>0.29331241593714197</c:v>
                </c:pt>
                <c:pt idx="38">
                  <c:v>0.32624798270759159</c:v>
                </c:pt>
                <c:pt idx="39">
                  <c:v>0.1976668611668933</c:v>
                </c:pt>
                <c:pt idx="40">
                  <c:v>0.30745529741519406</c:v>
                </c:pt>
                <c:pt idx="41">
                  <c:v>0.31586961926546503</c:v>
                </c:pt>
                <c:pt idx="42">
                  <c:v>0.3858229065076012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0B-4851-ABFF-BE9CD405846A}"/>
            </c:ext>
          </c:extLst>
        </c:ser>
        <c:ser>
          <c:idx val="1"/>
          <c:order val="1"/>
          <c:tx>
            <c:v>Forecast</c:v>
          </c:tx>
          <c:val>
            <c:numRef>
              <c:f>MQD!$C$2:$C$44</c:f>
              <c:numCache>
                <c:formatCode>0.000</c:formatCode>
                <c:ptCount val="43"/>
                <c:pt idx="0" formatCode="General">
                  <c:v>#N/A</c:v>
                </c:pt>
                <c:pt idx="1">
                  <c:v>0.26397745101381659</c:v>
                </c:pt>
                <c:pt idx="2" formatCode="General">
                  <c:v>0.32877287168896596</c:v>
                </c:pt>
                <c:pt idx="3" formatCode="General">
                  <c:v>0.39130987940857426</c:v>
                </c:pt>
                <c:pt idx="4" formatCode="General">
                  <c:v>0.44730331885938035</c:v>
                </c:pt>
                <c:pt idx="5" formatCode="General">
                  <c:v>0.53439306203974601</c:v>
                </c:pt>
                <c:pt idx="6" formatCode="General">
                  <c:v>0.54982756059561844</c:v>
                </c:pt>
                <c:pt idx="7" formatCode="General">
                  <c:v>0.49965953043600381</c:v>
                </c:pt>
                <c:pt idx="8" formatCode="General">
                  <c:v>0.43235228813461318</c:v>
                </c:pt>
                <c:pt idx="9" formatCode="General">
                  <c:v>0.44525863922343395</c:v>
                </c:pt>
                <c:pt idx="10" formatCode="General">
                  <c:v>0.45316795002607779</c:v>
                </c:pt>
                <c:pt idx="11" formatCode="General">
                  <c:v>0.43172560432620688</c:v>
                </c:pt>
                <c:pt idx="12" formatCode="General">
                  <c:v>0.4312180002123881</c:v>
                </c:pt>
                <c:pt idx="13" formatCode="General">
                  <c:v>0.49530644747041064</c:v>
                </c:pt>
                <c:pt idx="14" formatCode="General">
                  <c:v>0.46812740395694474</c:v>
                </c:pt>
                <c:pt idx="15" formatCode="General">
                  <c:v>0.43518645553266355</c:v>
                </c:pt>
                <c:pt idx="16" formatCode="General">
                  <c:v>0.45505439283675048</c:v>
                </c:pt>
                <c:pt idx="17" formatCode="General">
                  <c:v>0.41514269533165449</c:v>
                </c:pt>
                <c:pt idx="18" formatCode="General">
                  <c:v>0.41637398296791339</c:v>
                </c:pt>
                <c:pt idx="19" formatCode="General">
                  <c:v>0.38436953999576595</c:v>
                </c:pt>
                <c:pt idx="20" formatCode="General">
                  <c:v>0.37178100944826703</c:v>
                </c:pt>
                <c:pt idx="21" formatCode="General">
                  <c:v>0.40823985347863112</c:v>
                </c:pt>
                <c:pt idx="22" formatCode="General">
                  <c:v>0.43004437215581959</c:v>
                </c:pt>
                <c:pt idx="23" formatCode="General">
                  <c:v>0.3988676796804364</c:v>
                </c:pt>
                <c:pt idx="24" formatCode="General">
                  <c:v>0.36212208747670666</c:v>
                </c:pt>
                <c:pt idx="25" formatCode="General">
                  <c:v>0.37832246014897319</c:v>
                </c:pt>
                <c:pt idx="26" formatCode="General">
                  <c:v>0.34054304998037177</c:v>
                </c:pt>
                <c:pt idx="27" formatCode="General">
                  <c:v>0.29909354180923781</c:v>
                </c:pt>
                <c:pt idx="28" formatCode="General">
                  <c:v>0.36004257556867569</c:v>
                </c:pt>
                <c:pt idx="29" formatCode="General">
                  <c:v>0.36617973982599977</c:v>
                </c:pt>
                <c:pt idx="30" formatCode="General">
                  <c:v>0.32635743502767695</c:v>
                </c:pt>
                <c:pt idx="31" formatCode="General">
                  <c:v>0.38547618384010701</c:v>
                </c:pt>
                <c:pt idx="32" formatCode="General">
                  <c:v>0.3639856287953015</c:v>
                </c:pt>
                <c:pt idx="33" formatCode="General">
                  <c:v>0.38673173497126256</c:v>
                </c:pt>
                <c:pt idx="34" formatCode="General">
                  <c:v>0.35573692292557124</c:v>
                </c:pt>
                <c:pt idx="35" formatCode="General">
                  <c:v>0.37071445410865306</c:v>
                </c:pt>
                <c:pt idx="36" formatCode="General">
                  <c:v>0.33572146122598029</c:v>
                </c:pt>
                <c:pt idx="37" formatCode="General">
                  <c:v>0.39281573825070221</c:v>
                </c:pt>
                <c:pt idx="38" formatCode="General">
                  <c:v>0.36793990767231211</c:v>
                </c:pt>
                <c:pt idx="39" formatCode="General">
                  <c:v>0.35751692643113198</c:v>
                </c:pt>
                <c:pt idx="40" formatCode="General">
                  <c:v>0.31755441011507229</c:v>
                </c:pt>
                <c:pt idx="41" formatCode="General">
                  <c:v>0.31502963194010275</c:v>
                </c:pt>
                <c:pt idx="42" formatCode="General">
                  <c:v>0.31523962877144335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0B-4851-ABFF-BE9CD4058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9399871"/>
        <c:axId val="1729397471"/>
      </c:lineChart>
      <c:catAx>
        <c:axId val="1729399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1729397471"/>
        <c:crosses val="autoZero"/>
        <c:auto val="1"/>
        <c:lblAlgn val="ctr"/>
        <c:lblOffset val="100"/>
        <c:noMultiLvlLbl val="0"/>
      </c:catAx>
      <c:valAx>
        <c:axId val="17293974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72939987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Exponential Smoothing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MQD!$B$2:$B$44</c:f>
              <c:numCache>
                <c:formatCode>0.000</c:formatCode>
                <c:ptCount val="43"/>
                <c:pt idx="0">
                  <c:v>0.26397745101381659</c:v>
                </c:pt>
                <c:pt idx="1">
                  <c:v>0.52315913371441403</c:v>
                </c:pt>
                <c:pt idx="2">
                  <c:v>0.57892090256739914</c:v>
                </c:pt>
                <c:pt idx="3">
                  <c:v>0.6152836372117988</c:v>
                </c:pt>
                <c:pt idx="4">
                  <c:v>0.79566229158084323</c:v>
                </c:pt>
                <c:pt idx="5">
                  <c:v>0.59613105626323537</c:v>
                </c:pt>
                <c:pt idx="6">
                  <c:v>0.34915543995715986</c:v>
                </c:pt>
                <c:pt idx="7">
                  <c:v>0.23043056123044139</c:v>
                </c:pt>
                <c:pt idx="8">
                  <c:v>0.48397769248989625</c:v>
                </c:pt>
                <c:pt idx="9">
                  <c:v>0.47689588243400938</c:v>
                </c:pt>
                <c:pt idx="10">
                  <c:v>0.36739856722659425</c:v>
                </c:pt>
                <c:pt idx="11">
                  <c:v>0.42969518787093186</c:v>
                </c:pt>
                <c:pt idx="12">
                  <c:v>0.68757178924447848</c:v>
                </c:pt>
                <c:pt idx="13">
                  <c:v>0.38659027341654711</c:v>
                </c:pt>
                <c:pt idx="14">
                  <c:v>0.33636361025981998</c:v>
                </c:pt>
                <c:pt idx="15">
                  <c:v>0.51465820474901114</c:v>
                </c:pt>
                <c:pt idx="16">
                  <c:v>0.29540760281636652</c:v>
                </c:pt>
                <c:pt idx="17">
                  <c:v>0.4200678458766901</c:v>
                </c:pt>
                <c:pt idx="18">
                  <c:v>0.28835621107932369</c:v>
                </c:pt>
                <c:pt idx="19">
                  <c:v>0.33401541780577015</c:v>
                </c:pt>
                <c:pt idx="20">
                  <c:v>0.51761638556972334</c:v>
                </c:pt>
                <c:pt idx="21">
                  <c:v>0.4954579281873851</c:v>
                </c:pt>
                <c:pt idx="22">
                  <c:v>0.3053376022542868</c:v>
                </c:pt>
                <c:pt idx="23">
                  <c:v>0.25188531086551746</c:v>
                </c:pt>
                <c:pt idx="24">
                  <c:v>0.4269235781657727</c:v>
                </c:pt>
                <c:pt idx="25">
                  <c:v>0.22720481947456747</c:v>
                </c:pt>
                <c:pt idx="26">
                  <c:v>0.17474501729583575</c:v>
                </c:pt>
                <c:pt idx="27">
                  <c:v>0.5428896768469893</c:v>
                </c:pt>
                <c:pt idx="28">
                  <c:v>0.38459123259797218</c:v>
                </c:pt>
                <c:pt idx="29">
                  <c:v>0.20689052063270844</c:v>
                </c:pt>
                <c:pt idx="30">
                  <c:v>0.56283243027739727</c:v>
                </c:pt>
                <c:pt idx="31">
                  <c:v>0.29951396366088506</c:v>
                </c:pt>
                <c:pt idx="32">
                  <c:v>0.45497005349914577</c:v>
                </c:pt>
                <c:pt idx="33">
                  <c:v>0.26275248678849744</c:v>
                </c:pt>
                <c:pt idx="34">
                  <c:v>0.41564704765789862</c:v>
                </c:pt>
                <c:pt idx="35">
                  <c:v>0.23074248257796204</c:v>
                </c:pt>
                <c:pt idx="36">
                  <c:v>0.5640985693248679</c:v>
                </c:pt>
                <c:pt idx="37">
                  <c:v>0.29331241593714197</c:v>
                </c:pt>
                <c:pt idx="38">
                  <c:v>0.32624798270759159</c:v>
                </c:pt>
                <c:pt idx="39">
                  <c:v>0.1976668611668933</c:v>
                </c:pt>
                <c:pt idx="40">
                  <c:v>0.30745529741519406</c:v>
                </c:pt>
                <c:pt idx="41">
                  <c:v>0.31586961926546503</c:v>
                </c:pt>
                <c:pt idx="42">
                  <c:v>0.3858229065076012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FF-4BEC-9571-D389FB313E83}"/>
            </c:ext>
          </c:extLst>
        </c:ser>
        <c:ser>
          <c:idx val="1"/>
          <c:order val="1"/>
          <c:tx>
            <c:v>Forecast</c:v>
          </c:tx>
          <c:val>
            <c:numRef>
              <c:f>MQD!$C$2:$C$44</c:f>
              <c:numCache>
                <c:formatCode>0.000</c:formatCode>
                <c:ptCount val="43"/>
                <c:pt idx="0" formatCode="General">
                  <c:v>#N/A</c:v>
                </c:pt>
                <c:pt idx="1">
                  <c:v>0.26397745101381659</c:v>
                </c:pt>
                <c:pt idx="2" formatCode="General">
                  <c:v>0.32877287168896596</c:v>
                </c:pt>
                <c:pt idx="3" formatCode="General">
                  <c:v>0.39130987940857426</c:v>
                </c:pt>
                <c:pt idx="4" formatCode="General">
                  <c:v>0.44730331885938035</c:v>
                </c:pt>
                <c:pt idx="5" formatCode="General">
                  <c:v>0.53439306203974601</c:v>
                </c:pt>
                <c:pt idx="6" formatCode="General">
                  <c:v>0.54982756059561844</c:v>
                </c:pt>
                <c:pt idx="7" formatCode="General">
                  <c:v>0.49965953043600381</c:v>
                </c:pt>
                <c:pt idx="8" formatCode="General">
                  <c:v>0.43235228813461318</c:v>
                </c:pt>
                <c:pt idx="9" formatCode="General">
                  <c:v>0.44525863922343395</c:v>
                </c:pt>
                <c:pt idx="10" formatCode="General">
                  <c:v>0.45316795002607779</c:v>
                </c:pt>
                <c:pt idx="11" formatCode="General">
                  <c:v>0.43172560432620688</c:v>
                </c:pt>
                <c:pt idx="12" formatCode="General">
                  <c:v>0.4312180002123881</c:v>
                </c:pt>
                <c:pt idx="13" formatCode="General">
                  <c:v>0.49530644747041064</c:v>
                </c:pt>
                <c:pt idx="14" formatCode="General">
                  <c:v>0.46812740395694474</c:v>
                </c:pt>
                <c:pt idx="15" formatCode="General">
                  <c:v>0.43518645553266355</c:v>
                </c:pt>
                <c:pt idx="16" formatCode="General">
                  <c:v>0.45505439283675048</c:v>
                </c:pt>
                <c:pt idx="17" formatCode="General">
                  <c:v>0.41514269533165449</c:v>
                </c:pt>
                <c:pt idx="18" formatCode="General">
                  <c:v>0.41637398296791339</c:v>
                </c:pt>
                <c:pt idx="19" formatCode="General">
                  <c:v>0.38436953999576595</c:v>
                </c:pt>
                <c:pt idx="20" formatCode="General">
                  <c:v>0.37178100944826703</c:v>
                </c:pt>
                <c:pt idx="21" formatCode="General">
                  <c:v>0.40823985347863112</c:v>
                </c:pt>
                <c:pt idx="22" formatCode="General">
                  <c:v>0.43004437215581959</c:v>
                </c:pt>
                <c:pt idx="23" formatCode="General">
                  <c:v>0.3988676796804364</c:v>
                </c:pt>
                <c:pt idx="24" formatCode="General">
                  <c:v>0.36212208747670666</c:v>
                </c:pt>
                <c:pt idx="25" formatCode="General">
                  <c:v>0.37832246014897319</c:v>
                </c:pt>
                <c:pt idx="26" formatCode="General">
                  <c:v>0.34054304998037177</c:v>
                </c:pt>
                <c:pt idx="27" formatCode="General">
                  <c:v>0.29909354180923781</c:v>
                </c:pt>
                <c:pt idx="28" formatCode="General">
                  <c:v>0.36004257556867569</c:v>
                </c:pt>
                <c:pt idx="29" formatCode="General">
                  <c:v>0.36617973982599977</c:v>
                </c:pt>
                <c:pt idx="30" formatCode="General">
                  <c:v>0.32635743502767695</c:v>
                </c:pt>
                <c:pt idx="31" formatCode="General">
                  <c:v>0.38547618384010701</c:v>
                </c:pt>
                <c:pt idx="32" formatCode="General">
                  <c:v>0.3639856287953015</c:v>
                </c:pt>
                <c:pt idx="33" formatCode="General">
                  <c:v>0.38673173497126256</c:v>
                </c:pt>
                <c:pt idx="34" formatCode="General">
                  <c:v>0.35573692292557124</c:v>
                </c:pt>
                <c:pt idx="35" formatCode="General">
                  <c:v>0.37071445410865306</c:v>
                </c:pt>
                <c:pt idx="36" formatCode="General">
                  <c:v>0.33572146122598029</c:v>
                </c:pt>
                <c:pt idx="37" formatCode="General">
                  <c:v>0.39281573825070221</c:v>
                </c:pt>
                <c:pt idx="38" formatCode="General">
                  <c:v>0.36793990767231211</c:v>
                </c:pt>
                <c:pt idx="39" formatCode="General">
                  <c:v>0.35751692643113198</c:v>
                </c:pt>
                <c:pt idx="40" formatCode="General">
                  <c:v>0.31755441011507229</c:v>
                </c:pt>
                <c:pt idx="41" formatCode="General">
                  <c:v>0.31502963194010275</c:v>
                </c:pt>
                <c:pt idx="42" formatCode="General">
                  <c:v>0.31523962877144335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FF-4BEC-9571-D389FB313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728511"/>
        <c:axId val="159728991"/>
      </c:lineChart>
      <c:catAx>
        <c:axId val="159728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159728991"/>
        <c:crosses val="autoZero"/>
        <c:auto val="1"/>
        <c:lblAlgn val="ctr"/>
        <c:lblOffset val="100"/>
        <c:noMultiLvlLbl val="0"/>
      </c:catAx>
      <c:valAx>
        <c:axId val="1597289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5972851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1047750</xdr:colOff>
      <xdr:row>12</xdr:row>
      <xdr:rowOff>90487</xdr:rowOff>
    </xdr:from>
    <xdr:to>
      <xdr:col>3</xdr:col>
      <xdr:colOff>1343025</xdr:colOff>
      <xdr:row>26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0132F5-0B3D-0C58-A5F4-E39D4B702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206375</xdr:colOff>
      <xdr:row>137</xdr:row>
      <xdr:rowOff>41275</xdr:rowOff>
    </xdr:from>
    <xdr:to>
      <xdr:col>12</xdr:col>
      <xdr:colOff>511175</xdr:colOff>
      <xdr:row>152</xdr:row>
      <xdr:rowOff>22225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695E3D-A18E-434C-A015-2AA2F2540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238125</xdr:colOff>
      <xdr:row>1</xdr:row>
      <xdr:rowOff>180975</xdr:rowOff>
    </xdr:from>
    <xdr:to>
      <xdr:col>10</xdr:col>
      <xdr:colOff>238125</xdr:colOff>
      <xdr:row>11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A4C3FF-2357-8293-56BA-E52CF7F75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238124</xdr:colOff>
      <xdr:row>1</xdr:row>
      <xdr:rowOff>180974</xdr:rowOff>
    </xdr:from>
    <xdr:to>
      <xdr:col>14</xdr:col>
      <xdr:colOff>19049</xdr:colOff>
      <xdr:row>21</xdr:row>
      <xdr:rowOff>152399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8C513B-1BE1-AFF7-ECF5-D76C4C3DBE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238124</xdr:colOff>
      <xdr:row>1</xdr:row>
      <xdr:rowOff>180975</xdr:rowOff>
    </xdr:from>
    <xdr:to>
      <xdr:col>14</xdr:col>
      <xdr:colOff>476249</xdr:colOff>
      <xdr:row>21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8A0B07-6527-B63A-5ADC-8BF5EC94D2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756F4-A958-4C80-AE44-95B622873D5C}">
  <dimension ref="A1:K19"/>
  <sheetViews>
    <sheetView workbookViewId="0">
      <selection activeCell="D1" sqref="D1"/>
    </sheetView>
  </sheetViews>
  <sheetFormatPr defaultRowHeight="15" x14ac:dyDescent="0.25"/>
  <cols>
    <col min="1" max="3" width="13.5703125" customWidth="1"/>
    <col min="5" max="5" width="17.140625" customWidth="1"/>
  </cols>
  <sheetData>
    <row r="1" spans="1:11" ht="15.75" thickBot="1" x14ac:dyDescent="0.3">
      <c r="A1" s="1" t="s">
        <v>0</v>
      </c>
      <c r="B1" s="2" t="s">
        <v>1</v>
      </c>
      <c r="C1" s="2" t="s">
        <v>2</v>
      </c>
      <c r="E1" s="3" t="s">
        <v>3</v>
      </c>
      <c r="F1" s="4"/>
      <c r="G1" s="4"/>
      <c r="H1" s="4"/>
      <c r="I1" s="4"/>
      <c r="J1" s="4"/>
      <c r="K1" s="5"/>
    </row>
    <row r="2" spans="1:11" x14ac:dyDescent="0.25">
      <c r="A2">
        <v>122</v>
      </c>
      <c r="B2">
        <v>118</v>
      </c>
      <c r="C2">
        <v>64</v>
      </c>
      <c r="E2" t="s">
        <v>50</v>
      </c>
    </row>
    <row r="3" spans="1:11" x14ac:dyDescent="0.25">
      <c r="A3">
        <v>50</v>
      </c>
      <c r="B3">
        <v>55</v>
      </c>
      <c r="C3">
        <v>78</v>
      </c>
    </row>
    <row r="4" spans="1:11" ht="15.75" thickBot="1" x14ac:dyDescent="0.3">
      <c r="A4">
        <v>47</v>
      </c>
      <c r="B4">
        <v>51</v>
      </c>
      <c r="C4">
        <v>58</v>
      </c>
      <c r="E4" t="s">
        <v>51</v>
      </c>
    </row>
    <row r="5" spans="1:11" x14ac:dyDescent="0.25">
      <c r="A5">
        <v>44</v>
      </c>
      <c r="B5">
        <v>53</v>
      </c>
      <c r="C5">
        <v>129</v>
      </c>
      <c r="E5" s="40" t="s">
        <v>52</v>
      </c>
      <c r="F5" s="40" t="s">
        <v>53</v>
      </c>
      <c r="G5" s="40" t="s">
        <v>54</v>
      </c>
      <c r="H5" s="40" t="s">
        <v>55</v>
      </c>
      <c r="I5" s="40" t="s">
        <v>56</v>
      </c>
    </row>
    <row r="6" spans="1:11" x14ac:dyDescent="0.25">
      <c r="A6">
        <v>52</v>
      </c>
      <c r="B6">
        <v>56</v>
      </c>
      <c r="C6">
        <v>65</v>
      </c>
      <c r="E6" s="38" t="s">
        <v>0</v>
      </c>
      <c r="F6" s="38">
        <v>17</v>
      </c>
      <c r="G6" s="38">
        <v>817</v>
      </c>
      <c r="H6" s="38">
        <v>48.058823529411768</v>
      </c>
      <c r="I6" s="38">
        <v>418.93382352941171</v>
      </c>
    </row>
    <row r="7" spans="1:11" x14ac:dyDescent="0.25">
      <c r="A7">
        <v>38</v>
      </c>
      <c r="B7">
        <v>49</v>
      </c>
      <c r="C7">
        <v>59</v>
      </c>
      <c r="E7" s="38" t="s">
        <v>1</v>
      </c>
      <c r="F7" s="38">
        <v>16</v>
      </c>
      <c r="G7" s="38">
        <v>860</v>
      </c>
      <c r="H7" s="38">
        <v>53.75</v>
      </c>
      <c r="I7" s="38">
        <v>356.86666666666667</v>
      </c>
    </row>
    <row r="8" spans="1:11" ht="15.75" thickBot="1" x14ac:dyDescent="0.3">
      <c r="A8">
        <v>33</v>
      </c>
      <c r="B8">
        <v>34</v>
      </c>
      <c r="C8">
        <v>88</v>
      </c>
      <c r="E8" s="39" t="s">
        <v>2</v>
      </c>
      <c r="F8" s="39">
        <v>18</v>
      </c>
      <c r="G8" s="39">
        <v>1210</v>
      </c>
      <c r="H8" s="39">
        <v>67.222222222222229</v>
      </c>
      <c r="I8" s="39">
        <v>609.00653594771234</v>
      </c>
    </row>
    <row r="9" spans="1:11" x14ac:dyDescent="0.25">
      <c r="A9">
        <v>34</v>
      </c>
      <c r="B9">
        <v>54</v>
      </c>
      <c r="C9">
        <v>62</v>
      </c>
    </row>
    <row r="10" spans="1:11" x14ac:dyDescent="0.25">
      <c r="A10">
        <v>34</v>
      </c>
      <c r="B10">
        <v>53</v>
      </c>
      <c r="C10">
        <v>63</v>
      </c>
    </row>
    <row r="11" spans="1:11" ht="15.75" thickBot="1" x14ac:dyDescent="0.3">
      <c r="A11">
        <v>43</v>
      </c>
      <c r="B11">
        <v>55</v>
      </c>
      <c r="C11">
        <v>72</v>
      </c>
      <c r="E11" t="s">
        <v>57</v>
      </c>
    </row>
    <row r="12" spans="1:11" x14ac:dyDescent="0.25">
      <c r="A12">
        <v>58</v>
      </c>
      <c r="B12">
        <v>62</v>
      </c>
      <c r="C12">
        <v>100</v>
      </c>
      <c r="E12" s="40" t="s">
        <v>58</v>
      </c>
      <c r="F12" s="40" t="s">
        <v>59</v>
      </c>
      <c r="G12" s="40" t="s">
        <v>60</v>
      </c>
      <c r="H12" s="40" t="s">
        <v>61</v>
      </c>
      <c r="I12" s="40" t="s">
        <v>62</v>
      </c>
      <c r="J12" s="40" t="s">
        <v>63</v>
      </c>
      <c r="K12" s="40" t="s">
        <v>64</v>
      </c>
    </row>
    <row r="13" spans="1:11" x14ac:dyDescent="0.25">
      <c r="A13">
        <v>39</v>
      </c>
      <c r="B13">
        <v>47</v>
      </c>
      <c r="C13">
        <v>69</v>
      </c>
      <c r="E13" s="38" t="s">
        <v>65</v>
      </c>
      <c r="F13" s="38">
        <v>3401.1045751633937</v>
      </c>
      <c r="G13" s="38">
        <v>2</v>
      </c>
      <c r="H13" s="38">
        <v>1700.5522875816969</v>
      </c>
      <c r="I13" s="38">
        <v>3.6425685814993591</v>
      </c>
      <c r="J13" s="38">
        <v>3.366575069029161E-2</v>
      </c>
      <c r="K13" s="38">
        <v>3.1907273359284987</v>
      </c>
    </row>
    <row r="14" spans="1:11" x14ac:dyDescent="0.25">
      <c r="A14">
        <v>38</v>
      </c>
      <c r="B14">
        <v>47</v>
      </c>
      <c r="C14">
        <v>64</v>
      </c>
      <c r="E14" s="38" t="s">
        <v>66</v>
      </c>
      <c r="F14" s="38">
        <v>22409.052287581701</v>
      </c>
      <c r="G14" s="38">
        <v>48</v>
      </c>
      <c r="H14" s="38">
        <v>466.85525599128545</v>
      </c>
      <c r="I14" s="38"/>
      <c r="J14" s="38"/>
      <c r="K14" s="38"/>
    </row>
    <row r="15" spans="1:11" x14ac:dyDescent="0.25">
      <c r="A15">
        <v>37</v>
      </c>
      <c r="B15">
        <v>32</v>
      </c>
      <c r="C15">
        <v>21</v>
      </c>
      <c r="E15" s="38"/>
      <c r="F15" s="38"/>
      <c r="G15" s="38"/>
      <c r="H15" s="38"/>
      <c r="I15" s="38"/>
      <c r="J15" s="38"/>
      <c r="K15" s="38"/>
    </row>
    <row r="16" spans="1:11" ht="15.75" thickBot="1" x14ac:dyDescent="0.3">
      <c r="A16">
        <v>45</v>
      </c>
      <c r="B16">
        <v>41</v>
      </c>
      <c r="C16">
        <v>91</v>
      </c>
      <c r="E16" s="39" t="s">
        <v>67</v>
      </c>
      <c r="F16" s="39">
        <v>25810.156862745094</v>
      </c>
      <c r="G16" s="39">
        <v>50</v>
      </c>
      <c r="H16" s="39"/>
      <c r="I16" s="39"/>
      <c r="J16" s="39"/>
      <c r="K16" s="39"/>
    </row>
    <row r="17" spans="1:3" x14ac:dyDescent="0.25">
      <c r="A17">
        <v>54</v>
      </c>
      <c r="B17">
        <v>53</v>
      </c>
      <c r="C17">
        <v>47</v>
      </c>
    </row>
    <row r="18" spans="1:3" x14ac:dyDescent="0.25">
      <c r="A18">
        <v>49</v>
      </c>
      <c r="C18">
        <v>46</v>
      </c>
    </row>
    <row r="19" spans="1:3" x14ac:dyDescent="0.25">
      <c r="C19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65E3-0D29-403C-9497-2EBAE7339518}">
  <dimension ref="A1:V57"/>
  <sheetViews>
    <sheetView workbookViewId="0">
      <selection activeCell="O1" sqref="O1"/>
    </sheetView>
  </sheetViews>
  <sheetFormatPr defaultRowHeight="15" x14ac:dyDescent="0.25"/>
  <cols>
    <col min="1" max="1" width="12.42578125" style="6" customWidth="1"/>
    <col min="2" max="4" width="12.42578125" customWidth="1"/>
    <col min="5" max="5" width="14.7109375" customWidth="1"/>
    <col min="8" max="10" width="12.5703125" customWidth="1"/>
  </cols>
  <sheetData>
    <row r="1" spans="1:22" ht="15.75" thickBot="1" x14ac:dyDescent="0.3">
      <c r="B1" s="1" t="s">
        <v>0</v>
      </c>
      <c r="C1" s="2" t="s">
        <v>1</v>
      </c>
      <c r="D1" s="2" t="s">
        <v>2</v>
      </c>
      <c r="G1" s="6"/>
      <c r="H1" s="1" t="s">
        <v>0</v>
      </c>
      <c r="I1" s="7" t="s">
        <v>1</v>
      </c>
      <c r="J1" s="8" t="s">
        <v>2</v>
      </c>
      <c r="P1" t="s">
        <v>73</v>
      </c>
    </row>
    <row r="2" spans="1:22" ht="15.75" thickBot="1" x14ac:dyDescent="0.3">
      <c r="A2" s="1" t="s">
        <v>4</v>
      </c>
      <c r="B2" s="9">
        <v>412</v>
      </c>
      <c r="C2" s="10">
        <v>460</v>
      </c>
      <c r="D2" s="10">
        <v>411</v>
      </c>
      <c r="G2" s="1" t="s">
        <v>4</v>
      </c>
      <c r="H2" s="9">
        <v>17</v>
      </c>
      <c r="I2" s="11">
        <v>25</v>
      </c>
      <c r="J2" s="12">
        <v>18</v>
      </c>
    </row>
    <row r="3" spans="1:22" ht="15.75" thickBot="1" x14ac:dyDescent="0.3">
      <c r="A3" s="13"/>
      <c r="B3" s="14">
        <v>413</v>
      </c>
      <c r="C3" s="15">
        <v>443</v>
      </c>
      <c r="D3" s="15">
        <v>413</v>
      </c>
      <c r="G3" s="1" t="s">
        <v>5</v>
      </c>
      <c r="H3" s="9">
        <v>18</v>
      </c>
      <c r="I3" s="11">
        <v>26</v>
      </c>
      <c r="J3" s="12">
        <v>18</v>
      </c>
      <c r="P3" s="40" t="s">
        <v>51</v>
      </c>
      <c r="Q3" s="40" t="s">
        <v>53</v>
      </c>
      <c r="R3" s="40" t="s">
        <v>54</v>
      </c>
      <c r="S3" s="40" t="s">
        <v>55</v>
      </c>
      <c r="T3" s="40" t="s">
        <v>56</v>
      </c>
    </row>
    <row r="4" spans="1:22" ht="15.75" thickBot="1" x14ac:dyDescent="0.3">
      <c r="A4" s="13"/>
      <c r="B4" s="14">
        <v>432</v>
      </c>
      <c r="C4" s="15">
        <v>476</v>
      </c>
      <c r="D4" s="15">
        <v>430</v>
      </c>
      <c r="G4" s="16" t="s">
        <v>6</v>
      </c>
      <c r="H4" s="17">
        <v>17</v>
      </c>
      <c r="I4" s="18">
        <v>27</v>
      </c>
      <c r="J4" s="19">
        <v>20</v>
      </c>
      <c r="P4" s="38" t="s">
        <v>4</v>
      </c>
      <c r="Q4" s="38">
        <v>3</v>
      </c>
      <c r="R4" s="38">
        <v>60</v>
      </c>
      <c r="S4" s="38">
        <v>20</v>
      </c>
      <c r="T4" s="38">
        <v>19</v>
      </c>
    </row>
    <row r="5" spans="1:22" x14ac:dyDescent="0.25">
      <c r="A5" s="13"/>
      <c r="B5" s="14">
        <v>435</v>
      </c>
      <c r="C5" s="15">
        <v>458</v>
      </c>
      <c r="D5" s="15">
        <v>430</v>
      </c>
      <c r="P5" s="38" t="s">
        <v>5</v>
      </c>
      <c r="Q5" s="38">
        <v>3</v>
      </c>
      <c r="R5" s="38">
        <v>62</v>
      </c>
      <c r="S5" s="38">
        <v>20.666666666666668</v>
      </c>
      <c r="T5" s="38">
        <v>21.333333333333371</v>
      </c>
    </row>
    <row r="6" spans="1:22" ht="15.75" thickBot="1" x14ac:dyDescent="0.3">
      <c r="A6" s="20"/>
      <c r="B6" s="21">
        <v>404</v>
      </c>
      <c r="C6" s="22">
        <v>407</v>
      </c>
      <c r="D6" s="22">
        <v>399</v>
      </c>
      <c r="G6" s="6" t="s">
        <v>7</v>
      </c>
      <c r="P6" s="38" t="s">
        <v>6</v>
      </c>
      <c r="Q6" s="38">
        <v>3</v>
      </c>
      <c r="R6" s="38">
        <v>64</v>
      </c>
      <c r="S6" s="38">
        <v>21.333333333333332</v>
      </c>
      <c r="T6" s="38">
        <v>26.333333333333371</v>
      </c>
    </row>
    <row r="7" spans="1:22" ht="15.75" thickBot="1" x14ac:dyDescent="0.3">
      <c r="A7" s="1" t="s">
        <v>5</v>
      </c>
      <c r="B7" s="9">
        <v>404</v>
      </c>
      <c r="C7" s="10">
        <v>446</v>
      </c>
      <c r="D7" s="10">
        <v>398</v>
      </c>
      <c r="P7" s="38"/>
      <c r="Q7" s="38"/>
      <c r="R7" s="38"/>
      <c r="S7" s="38"/>
      <c r="T7" s="38"/>
    </row>
    <row r="8" spans="1:22" ht="15.75" thickBot="1" x14ac:dyDescent="0.3">
      <c r="A8" s="13"/>
      <c r="B8" s="14">
        <v>405</v>
      </c>
      <c r="C8" s="15">
        <v>414</v>
      </c>
      <c r="D8" s="15">
        <v>407</v>
      </c>
      <c r="G8" s="3" t="s">
        <v>44</v>
      </c>
      <c r="H8" s="35"/>
      <c r="I8" s="35"/>
      <c r="J8" s="35"/>
      <c r="K8" s="35"/>
      <c r="L8" s="35"/>
      <c r="M8" s="35"/>
      <c r="N8" s="35"/>
      <c r="P8" s="38" t="s">
        <v>0</v>
      </c>
      <c r="Q8" s="38">
        <v>3</v>
      </c>
      <c r="R8" s="38">
        <v>52</v>
      </c>
      <c r="S8" s="38">
        <v>17.333333333333332</v>
      </c>
      <c r="T8" s="38">
        <v>0.33333333333333337</v>
      </c>
    </row>
    <row r="9" spans="1:22" x14ac:dyDescent="0.25">
      <c r="A9" s="13"/>
      <c r="B9" s="14">
        <v>481</v>
      </c>
      <c r="C9" s="15">
        <v>509</v>
      </c>
      <c r="D9" s="15">
        <v>478</v>
      </c>
      <c r="P9" s="38" t="s">
        <v>1</v>
      </c>
      <c r="Q9" s="38">
        <v>3</v>
      </c>
      <c r="R9" s="38">
        <v>78</v>
      </c>
      <c r="S9" s="38">
        <v>26</v>
      </c>
      <c r="T9" s="38">
        <v>1</v>
      </c>
    </row>
    <row r="10" spans="1:22" ht="15.75" thickBot="1" x14ac:dyDescent="0.3">
      <c r="A10" s="13"/>
      <c r="B10" s="14">
        <v>433</v>
      </c>
      <c r="C10" s="15">
        <v>477</v>
      </c>
      <c r="D10" s="15">
        <v>423</v>
      </c>
      <c r="P10" s="39" t="s">
        <v>2</v>
      </c>
      <c r="Q10" s="39">
        <v>3</v>
      </c>
      <c r="R10" s="39">
        <v>56</v>
      </c>
      <c r="S10" s="39">
        <v>18.666666666666668</v>
      </c>
      <c r="T10" s="39">
        <v>1.3333333333333333</v>
      </c>
    </row>
    <row r="11" spans="1:22" ht="15.75" thickBot="1" x14ac:dyDescent="0.3">
      <c r="A11" s="20"/>
      <c r="B11" s="21">
        <v>422</v>
      </c>
      <c r="C11" s="22">
        <v>460</v>
      </c>
      <c r="D11" s="22">
        <v>424</v>
      </c>
    </row>
    <row r="12" spans="1:22" x14ac:dyDescent="0.25">
      <c r="A12" s="1" t="s">
        <v>6</v>
      </c>
      <c r="B12" s="9">
        <v>502</v>
      </c>
      <c r="C12" s="10">
        <v>538</v>
      </c>
      <c r="D12" s="10">
        <v>401</v>
      </c>
    </row>
    <row r="13" spans="1:22" ht="15.75" thickBot="1" x14ac:dyDescent="0.3">
      <c r="A13" s="13"/>
      <c r="B13" s="14">
        <v>507</v>
      </c>
      <c r="C13" s="15">
        <v>553</v>
      </c>
      <c r="D13" s="15">
        <v>506</v>
      </c>
      <c r="P13" t="s">
        <v>57</v>
      </c>
    </row>
    <row r="14" spans="1:22" x14ac:dyDescent="0.25">
      <c r="A14" s="13"/>
      <c r="B14" s="14">
        <v>513</v>
      </c>
      <c r="C14" s="15">
        <v>524</v>
      </c>
      <c r="D14" s="15">
        <v>515</v>
      </c>
      <c r="P14" s="40" t="s">
        <v>58</v>
      </c>
      <c r="Q14" s="40" t="s">
        <v>59</v>
      </c>
      <c r="R14" s="40" t="s">
        <v>60</v>
      </c>
      <c r="S14" s="40" t="s">
        <v>61</v>
      </c>
      <c r="T14" s="40" t="s">
        <v>62</v>
      </c>
      <c r="U14" s="40" t="s">
        <v>63</v>
      </c>
      <c r="V14" s="40" t="s">
        <v>64</v>
      </c>
    </row>
    <row r="15" spans="1:22" x14ac:dyDescent="0.25">
      <c r="A15" s="13"/>
      <c r="B15" s="14">
        <v>499</v>
      </c>
      <c r="C15" s="15">
        <v>525</v>
      </c>
      <c r="D15" s="15">
        <v>498</v>
      </c>
      <c r="P15" s="38" t="s">
        <v>74</v>
      </c>
      <c r="Q15" s="38">
        <v>2.6666666666666856</v>
      </c>
      <c r="R15" s="38">
        <v>2</v>
      </c>
      <c r="S15" s="38">
        <v>1.3333333333333428</v>
      </c>
      <c r="T15" s="38">
        <v>2.0000000000000213</v>
      </c>
      <c r="U15" s="38">
        <v>0.24999999999999734</v>
      </c>
      <c r="V15" s="38">
        <v>6.9442719099991574</v>
      </c>
    </row>
    <row r="16" spans="1:22" ht="15.75" thickBot="1" x14ac:dyDescent="0.3">
      <c r="A16" s="20"/>
      <c r="B16" s="21">
        <v>520</v>
      </c>
      <c r="C16" s="22">
        <v>555</v>
      </c>
      <c r="D16" s="22">
        <v>519</v>
      </c>
      <c r="P16" s="38" t="s">
        <v>70</v>
      </c>
      <c r="Q16" s="38">
        <v>130.66666666666666</v>
      </c>
      <c r="R16" s="38">
        <v>2</v>
      </c>
      <c r="S16" s="38">
        <v>65.333333333333329</v>
      </c>
      <c r="T16" s="38">
        <v>98.000000000000341</v>
      </c>
      <c r="U16" s="38">
        <v>3.9999999999999725E-4</v>
      </c>
      <c r="V16" s="38">
        <v>6.9442719099991574</v>
      </c>
    </row>
    <row r="17" spans="1:22" x14ac:dyDescent="0.25">
      <c r="P17" s="38" t="s">
        <v>75</v>
      </c>
      <c r="Q17" s="38">
        <v>2.6666666666666572</v>
      </c>
      <c r="R17" s="38">
        <v>4</v>
      </c>
      <c r="S17" s="38">
        <v>0.6666666666666643</v>
      </c>
      <c r="T17" s="38"/>
      <c r="U17" s="38"/>
      <c r="V17" s="38"/>
    </row>
    <row r="18" spans="1:22" s="6" customFormat="1" x14ac:dyDescent="0.25">
      <c r="C18" s="6" t="s">
        <v>8</v>
      </c>
      <c r="P18" s="38"/>
      <c r="Q18" s="38"/>
      <c r="R18" s="38"/>
      <c r="S18" s="38"/>
      <c r="T18" s="38"/>
      <c r="U18" s="38"/>
      <c r="V18" s="38"/>
    </row>
    <row r="19" spans="1:22" ht="15.75" thickBot="1" x14ac:dyDescent="0.3">
      <c r="P19" s="39" t="s">
        <v>67</v>
      </c>
      <c r="Q19" s="39">
        <v>136</v>
      </c>
      <c r="R19" s="39">
        <v>8</v>
      </c>
      <c r="S19" s="39"/>
      <c r="T19" s="39"/>
      <c r="U19" s="39"/>
      <c r="V19" s="39"/>
    </row>
    <row r="20" spans="1:22" ht="15.75" thickBot="1" x14ac:dyDescent="0.3">
      <c r="C20" s="3" t="s">
        <v>49</v>
      </c>
      <c r="D20" s="4"/>
      <c r="E20" s="4"/>
      <c r="F20" s="35"/>
      <c r="G20" s="35"/>
      <c r="H20" s="35"/>
      <c r="I20" s="35"/>
      <c r="J20" s="35"/>
      <c r="K20" s="35"/>
    </row>
    <row r="21" spans="1:22" x14ac:dyDescent="0.25">
      <c r="C21" t="s">
        <v>68</v>
      </c>
    </row>
    <row r="22" spans="1:22" x14ac:dyDescent="0.25">
      <c r="A22"/>
    </row>
    <row r="23" spans="1:22" x14ac:dyDescent="0.25">
      <c r="A23"/>
      <c r="C23" t="s">
        <v>51</v>
      </c>
      <c r="D23" t="s">
        <v>0</v>
      </c>
      <c r="E23" t="s">
        <v>1</v>
      </c>
      <c r="F23" t="s">
        <v>2</v>
      </c>
      <c r="G23" t="s">
        <v>67</v>
      </c>
    </row>
    <row r="24" spans="1:22" ht="15.75" thickBot="1" x14ac:dyDescent="0.3">
      <c r="A24"/>
      <c r="C24" s="41" t="s">
        <v>4</v>
      </c>
      <c r="D24" s="41"/>
      <c r="E24" s="41"/>
      <c r="F24" s="41"/>
      <c r="G24" s="41"/>
    </row>
    <row r="25" spans="1:22" x14ac:dyDescent="0.25">
      <c r="A25"/>
      <c r="C25" s="38" t="s">
        <v>53</v>
      </c>
      <c r="D25" s="38">
        <v>5</v>
      </c>
      <c r="E25" s="38">
        <v>5</v>
      </c>
      <c r="F25" s="38">
        <v>5</v>
      </c>
      <c r="G25" s="38">
        <v>15</v>
      </c>
    </row>
    <row r="26" spans="1:22" x14ac:dyDescent="0.25">
      <c r="A26"/>
      <c r="C26" s="38" t="s">
        <v>54</v>
      </c>
      <c r="D26" s="38">
        <v>2096</v>
      </c>
      <c r="E26" s="38">
        <v>2244</v>
      </c>
      <c r="F26" s="38">
        <v>2083</v>
      </c>
      <c r="G26" s="38">
        <v>6423</v>
      </c>
    </row>
    <row r="27" spans="1:22" x14ac:dyDescent="0.25">
      <c r="A27"/>
      <c r="C27" s="38" t="s">
        <v>55</v>
      </c>
      <c r="D27" s="38">
        <v>419.2</v>
      </c>
      <c r="E27" s="38">
        <v>448.8</v>
      </c>
      <c r="F27" s="38">
        <v>416.6</v>
      </c>
      <c r="G27" s="38">
        <v>428.2</v>
      </c>
    </row>
    <row r="28" spans="1:22" x14ac:dyDescent="0.25">
      <c r="A28"/>
      <c r="C28" s="38" t="s">
        <v>56</v>
      </c>
      <c r="D28" s="38">
        <v>183.7</v>
      </c>
      <c r="E28" s="38">
        <v>682.69999999999993</v>
      </c>
      <c r="F28" s="38">
        <v>178.29999999999998</v>
      </c>
      <c r="G28" s="38">
        <v>527.02857142857135</v>
      </c>
    </row>
    <row r="29" spans="1:22" x14ac:dyDescent="0.25">
      <c r="A29"/>
      <c r="C29" s="38"/>
      <c r="D29" s="38"/>
      <c r="E29" s="38"/>
      <c r="F29" s="38"/>
      <c r="G29" s="38"/>
    </row>
    <row r="30" spans="1:22" ht="15.75" thickBot="1" x14ac:dyDescent="0.3">
      <c r="A30"/>
      <c r="C30" s="41" t="s">
        <v>5</v>
      </c>
      <c r="D30" s="41"/>
      <c r="E30" s="41"/>
      <c r="F30" s="41"/>
      <c r="G30" s="41"/>
    </row>
    <row r="31" spans="1:22" x14ac:dyDescent="0.25">
      <c r="A31"/>
      <c r="C31" s="38" t="s">
        <v>53</v>
      </c>
      <c r="D31" s="38">
        <v>5</v>
      </c>
      <c r="E31" s="38">
        <v>5</v>
      </c>
      <c r="F31" s="38">
        <v>5</v>
      </c>
      <c r="G31" s="38">
        <v>15</v>
      </c>
    </row>
    <row r="32" spans="1:22" x14ac:dyDescent="0.25">
      <c r="A32"/>
      <c r="C32" s="38" t="s">
        <v>54</v>
      </c>
      <c r="D32" s="38">
        <v>2145</v>
      </c>
      <c r="E32" s="38">
        <v>2306</v>
      </c>
      <c r="F32" s="38">
        <v>2130</v>
      </c>
      <c r="G32" s="38">
        <v>6581</v>
      </c>
    </row>
    <row r="33" spans="1:7" x14ac:dyDescent="0.25">
      <c r="A33"/>
      <c r="C33" s="38" t="s">
        <v>55</v>
      </c>
      <c r="D33" s="38">
        <v>429</v>
      </c>
      <c r="E33" s="38">
        <v>461.2</v>
      </c>
      <c r="F33" s="38">
        <v>426</v>
      </c>
      <c r="G33" s="38">
        <v>438.73333333333335</v>
      </c>
    </row>
    <row r="34" spans="1:7" x14ac:dyDescent="0.25">
      <c r="A34"/>
      <c r="C34" s="38" t="s">
        <v>56</v>
      </c>
      <c r="D34" s="38">
        <v>992.5</v>
      </c>
      <c r="E34" s="38">
        <v>1248.6999999999998</v>
      </c>
      <c r="F34" s="38">
        <v>965.5</v>
      </c>
      <c r="G34" s="38">
        <v>1188.2095238095239</v>
      </c>
    </row>
    <row r="35" spans="1:7" x14ac:dyDescent="0.25">
      <c r="A35"/>
      <c r="C35" s="38"/>
      <c r="D35" s="38"/>
      <c r="E35" s="38"/>
      <c r="F35" s="38"/>
      <c r="G35" s="38"/>
    </row>
    <row r="36" spans="1:7" ht="15.75" thickBot="1" x14ac:dyDescent="0.3">
      <c r="A36"/>
      <c r="C36" s="41" t="s">
        <v>6</v>
      </c>
      <c r="D36" s="41"/>
      <c r="E36" s="41"/>
      <c r="F36" s="41"/>
      <c r="G36" s="41"/>
    </row>
    <row r="37" spans="1:7" x14ac:dyDescent="0.25">
      <c r="A37"/>
      <c r="C37" s="38" t="s">
        <v>53</v>
      </c>
      <c r="D37" s="38">
        <v>5</v>
      </c>
      <c r="E37" s="38">
        <v>5</v>
      </c>
      <c r="F37" s="38">
        <v>5</v>
      </c>
      <c r="G37" s="38">
        <v>15</v>
      </c>
    </row>
    <row r="38" spans="1:7" x14ac:dyDescent="0.25">
      <c r="A38"/>
      <c r="C38" s="38" t="s">
        <v>54</v>
      </c>
      <c r="D38" s="38">
        <v>2541</v>
      </c>
      <c r="E38" s="38">
        <v>2695</v>
      </c>
      <c r="F38" s="38">
        <v>2439</v>
      </c>
      <c r="G38" s="38">
        <v>7675</v>
      </c>
    </row>
    <row r="39" spans="1:7" x14ac:dyDescent="0.25">
      <c r="A39"/>
      <c r="C39" s="38" t="s">
        <v>55</v>
      </c>
      <c r="D39" s="38">
        <v>508.2</v>
      </c>
      <c r="E39" s="38">
        <v>539</v>
      </c>
      <c r="F39" s="38">
        <v>487.8</v>
      </c>
      <c r="G39" s="38">
        <v>511.66666666666669</v>
      </c>
    </row>
    <row r="40" spans="1:7" x14ac:dyDescent="0.25">
      <c r="A40"/>
      <c r="C40" s="38" t="s">
        <v>56</v>
      </c>
      <c r="D40" s="38">
        <v>71.699999999999989</v>
      </c>
      <c r="E40" s="38">
        <v>218.5</v>
      </c>
      <c r="F40" s="38">
        <v>2420.6999999999998</v>
      </c>
      <c r="G40" s="38">
        <v>1249.0952380952381</v>
      </c>
    </row>
    <row r="41" spans="1:7" x14ac:dyDescent="0.25">
      <c r="A41"/>
      <c r="C41" s="38"/>
      <c r="D41" s="38"/>
      <c r="E41" s="38"/>
      <c r="F41" s="38"/>
      <c r="G41" s="38"/>
    </row>
    <row r="42" spans="1:7" ht="15.75" thickBot="1" x14ac:dyDescent="0.3">
      <c r="A42"/>
      <c r="C42" s="41" t="s">
        <v>67</v>
      </c>
      <c r="D42" s="41"/>
      <c r="E42" s="41"/>
      <c r="F42" s="41"/>
      <c r="G42" s="41"/>
    </row>
    <row r="43" spans="1:7" x14ac:dyDescent="0.25">
      <c r="A43"/>
      <c r="C43" s="38" t="s">
        <v>53</v>
      </c>
      <c r="D43" s="38">
        <v>15</v>
      </c>
      <c r="E43" s="38">
        <v>15</v>
      </c>
      <c r="F43" s="38">
        <v>15</v>
      </c>
      <c r="G43" s="38"/>
    </row>
    <row r="44" spans="1:7" x14ac:dyDescent="0.25">
      <c r="A44"/>
      <c r="C44" s="38" t="s">
        <v>54</v>
      </c>
      <c r="D44" s="38">
        <v>6782</v>
      </c>
      <c r="E44" s="38">
        <v>7245</v>
      </c>
      <c r="F44" s="38">
        <v>6652</v>
      </c>
      <c r="G44" s="38"/>
    </row>
    <row r="45" spans="1:7" x14ac:dyDescent="0.25">
      <c r="A45"/>
      <c r="C45" s="38" t="s">
        <v>55</v>
      </c>
      <c r="D45" s="38">
        <v>452.13333333333333</v>
      </c>
      <c r="E45" s="38">
        <v>483</v>
      </c>
      <c r="F45" s="38">
        <v>443.46666666666664</v>
      </c>
      <c r="G45" s="38"/>
    </row>
    <row r="46" spans="1:7" x14ac:dyDescent="0.25">
      <c r="A46"/>
      <c r="C46" s="38" t="s">
        <v>56</v>
      </c>
      <c r="D46" s="38">
        <v>2057.6952380952384</v>
      </c>
      <c r="E46" s="38">
        <v>2321.7142857142858</v>
      </c>
      <c r="F46" s="38">
        <v>2087.1238095238095</v>
      </c>
      <c r="G46" s="38"/>
    </row>
    <row r="47" spans="1:7" x14ac:dyDescent="0.25">
      <c r="A47"/>
      <c r="C47" s="38"/>
      <c r="D47" s="38"/>
      <c r="E47" s="38"/>
      <c r="F47" s="38"/>
      <c r="G47" s="38"/>
    </row>
    <row r="48" spans="1:7" x14ac:dyDescent="0.25">
      <c r="A48"/>
    </row>
    <row r="49" spans="1:9" ht="15.75" thickBot="1" x14ac:dyDescent="0.3">
      <c r="A49"/>
      <c r="C49" t="s">
        <v>57</v>
      </c>
    </row>
    <row r="50" spans="1:9" x14ac:dyDescent="0.25">
      <c r="A50"/>
      <c r="C50" s="40" t="s">
        <v>58</v>
      </c>
      <c r="D50" s="40" t="s">
        <v>59</v>
      </c>
      <c r="E50" s="40" t="s">
        <v>60</v>
      </c>
      <c r="F50" s="40" t="s">
        <v>61</v>
      </c>
      <c r="G50" s="40" t="s">
        <v>62</v>
      </c>
      <c r="H50" s="40" t="s">
        <v>63</v>
      </c>
      <c r="I50" s="40" t="s">
        <v>64</v>
      </c>
    </row>
    <row r="51" spans="1:9" x14ac:dyDescent="0.25">
      <c r="A51"/>
      <c r="C51" s="38" t="s">
        <v>69</v>
      </c>
      <c r="D51" s="38">
        <v>61984.533333333326</v>
      </c>
      <c r="E51" s="38">
        <v>2</v>
      </c>
      <c r="F51" s="38">
        <v>30992.266666666663</v>
      </c>
      <c r="G51" s="38">
        <v>40.062967697456294</v>
      </c>
      <c r="H51" s="38">
        <v>6.9938926040050008E-10</v>
      </c>
      <c r="I51" s="38">
        <v>3.2594463061441079</v>
      </c>
    </row>
    <row r="52" spans="1:9" x14ac:dyDescent="0.25">
      <c r="A52"/>
      <c r="C52" s="38" t="s">
        <v>70</v>
      </c>
      <c r="D52" s="38">
        <v>12953.733333333323</v>
      </c>
      <c r="E52" s="38">
        <v>2</v>
      </c>
      <c r="F52" s="38">
        <v>6476.8666666666613</v>
      </c>
      <c r="G52" s="38">
        <v>8.3724918489579512</v>
      </c>
      <c r="H52" s="38">
        <v>1.0331992683596507E-3</v>
      </c>
      <c r="I52" s="38">
        <v>3.2594463061441079</v>
      </c>
    </row>
    <row r="53" spans="1:9" x14ac:dyDescent="0.25">
      <c r="A53"/>
      <c r="C53" s="38" t="s">
        <v>71</v>
      </c>
      <c r="D53" s="38">
        <v>697.73333333334813</v>
      </c>
      <c r="E53" s="38">
        <v>4</v>
      </c>
      <c r="F53" s="38">
        <v>174.43333333333703</v>
      </c>
      <c r="G53" s="38">
        <v>0.22548583083177012</v>
      </c>
      <c r="H53" s="38">
        <v>0.92237156212162486</v>
      </c>
      <c r="I53" s="38">
        <v>2.6335320942137543</v>
      </c>
    </row>
    <row r="54" spans="1:9" x14ac:dyDescent="0.25">
      <c r="A54"/>
      <c r="C54" s="38" t="s">
        <v>72</v>
      </c>
      <c r="D54" s="38">
        <v>27849.200000000001</v>
      </c>
      <c r="E54" s="38">
        <v>36</v>
      </c>
      <c r="F54" s="38">
        <v>773.58888888888896</v>
      </c>
      <c r="G54" s="38"/>
      <c r="H54" s="38"/>
      <c r="I54" s="38"/>
    </row>
    <row r="55" spans="1:9" x14ac:dyDescent="0.25">
      <c r="A55"/>
      <c r="C55" s="38"/>
      <c r="D55" s="38"/>
      <c r="E55" s="38"/>
      <c r="F55" s="38"/>
      <c r="G55" s="38"/>
      <c r="H55" s="38"/>
      <c r="I55" s="38"/>
    </row>
    <row r="56" spans="1:9" ht="15.75" thickBot="1" x14ac:dyDescent="0.3">
      <c r="A56"/>
      <c r="C56" s="39" t="s">
        <v>67</v>
      </c>
      <c r="D56" s="39">
        <v>103485.2</v>
      </c>
      <c r="E56" s="39">
        <v>44</v>
      </c>
      <c r="F56" s="39"/>
      <c r="G56" s="39"/>
      <c r="H56" s="39"/>
      <c r="I56" s="39"/>
    </row>
    <row r="57" spans="1:9" x14ac:dyDescent="0.25">
      <c r="A5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73ECC-F437-4767-913C-F4ED79CB229C}">
  <dimension ref="A1:N41"/>
  <sheetViews>
    <sheetView tabSelected="1" zoomScale="90" zoomScaleNormal="90" workbookViewId="0">
      <selection activeCell="E1" sqref="E1"/>
    </sheetView>
  </sheetViews>
  <sheetFormatPr defaultColWidth="9.140625" defaultRowHeight="15" x14ac:dyDescent="0.25"/>
  <cols>
    <col min="1" max="1" width="19.5703125" bestFit="1" customWidth="1"/>
    <col min="2" max="3" width="19.28515625" style="25" customWidth="1"/>
    <col min="4" max="4" width="23.42578125" style="25" bestFit="1" customWidth="1"/>
  </cols>
  <sheetData>
    <row r="1" spans="1:11" s="6" customFormat="1" ht="21.75" customHeight="1" thickBot="1" x14ac:dyDescent="0.3">
      <c r="A1" s="6" t="s">
        <v>9</v>
      </c>
      <c r="B1" s="23" t="s">
        <v>10</v>
      </c>
      <c r="C1" s="23" t="s">
        <v>11</v>
      </c>
      <c r="D1" s="23" t="s">
        <v>12</v>
      </c>
      <c r="F1" s="3" t="s">
        <v>45</v>
      </c>
      <c r="G1" s="36"/>
      <c r="H1" s="36"/>
      <c r="I1" s="36"/>
    </row>
    <row r="2" spans="1:11" x14ac:dyDescent="0.25">
      <c r="A2" t="s">
        <v>13</v>
      </c>
      <c r="B2" s="24">
        <v>8.1999999999999993</v>
      </c>
      <c r="C2" s="24">
        <v>4</v>
      </c>
      <c r="D2" s="25">
        <v>350</v>
      </c>
      <c r="F2" t="s">
        <v>76</v>
      </c>
    </row>
    <row r="3" spans="1:11" ht="15.75" thickBot="1" x14ac:dyDescent="0.3">
      <c r="A3" t="s">
        <v>14</v>
      </c>
      <c r="B3" s="24">
        <v>5.8</v>
      </c>
      <c r="C3" s="24">
        <v>4.9000000000000004</v>
      </c>
      <c r="D3" s="25">
        <v>820</v>
      </c>
    </row>
    <row r="4" spans="1:11" x14ac:dyDescent="0.25">
      <c r="A4" t="s">
        <v>15</v>
      </c>
      <c r="B4" s="24">
        <v>5.6</v>
      </c>
      <c r="C4" s="24">
        <v>4.2</v>
      </c>
      <c r="D4" s="25">
        <v>500</v>
      </c>
      <c r="F4" s="42" t="s">
        <v>77</v>
      </c>
      <c r="G4" s="42"/>
    </row>
    <row r="5" spans="1:11" x14ac:dyDescent="0.25">
      <c r="A5" t="s">
        <v>16</v>
      </c>
      <c r="B5" s="24">
        <v>7.7</v>
      </c>
      <c r="C5" s="24">
        <v>3.5</v>
      </c>
      <c r="D5" s="25">
        <v>300</v>
      </c>
      <c r="F5" s="38" t="s">
        <v>78</v>
      </c>
      <c r="G5" s="38">
        <v>0.88811166147062481</v>
      </c>
    </row>
    <row r="6" spans="1:11" x14ac:dyDescent="0.25">
      <c r="A6" t="s">
        <v>17</v>
      </c>
      <c r="B6" s="24">
        <v>8.6999999999999993</v>
      </c>
      <c r="C6" s="24">
        <v>2.7</v>
      </c>
      <c r="D6" s="25">
        <v>230</v>
      </c>
      <c r="F6" s="38" t="s">
        <v>79</v>
      </c>
      <c r="G6" s="38">
        <v>0.78874232324011373</v>
      </c>
    </row>
    <row r="7" spans="1:11" x14ac:dyDescent="0.25">
      <c r="A7" t="s">
        <v>18</v>
      </c>
      <c r="B7" s="24">
        <v>7.8</v>
      </c>
      <c r="C7" s="24">
        <v>4.2</v>
      </c>
      <c r="D7" s="25">
        <v>400</v>
      </c>
      <c r="F7" s="38" t="s">
        <v>80</v>
      </c>
      <c r="G7" s="38">
        <v>0.75353271044679937</v>
      </c>
    </row>
    <row r="8" spans="1:11" x14ac:dyDescent="0.25">
      <c r="A8" t="s">
        <v>19</v>
      </c>
      <c r="B8" s="24">
        <v>6.2</v>
      </c>
      <c r="C8" s="24">
        <v>3.9</v>
      </c>
      <c r="D8" s="25">
        <v>350</v>
      </c>
      <c r="F8" s="38" t="s">
        <v>81</v>
      </c>
      <c r="G8" s="38">
        <v>79.465254602907777</v>
      </c>
    </row>
    <row r="9" spans="1:11" ht="15.75" thickBot="1" x14ac:dyDescent="0.3">
      <c r="A9" t="s">
        <v>20</v>
      </c>
      <c r="B9" s="24">
        <v>5.7</v>
      </c>
      <c r="C9" s="24">
        <v>4.7</v>
      </c>
      <c r="D9" s="25">
        <v>630</v>
      </c>
      <c r="F9" s="39" t="s">
        <v>82</v>
      </c>
      <c r="G9" s="39">
        <v>15</v>
      </c>
    </row>
    <row r="10" spans="1:11" x14ac:dyDescent="0.25">
      <c r="A10" t="s">
        <v>21</v>
      </c>
      <c r="B10" s="24">
        <v>8.6</v>
      </c>
      <c r="C10" s="24">
        <v>3.4000000000000004</v>
      </c>
      <c r="D10" s="25">
        <v>250</v>
      </c>
    </row>
    <row r="11" spans="1:11" ht="15.75" thickBot="1" x14ac:dyDescent="0.3">
      <c r="A11" t="s">
        <v>22</v>
      </c>
      <c r="B11" s="24">
        <v>7.8</v>
      </c>
      <c r="C11" s="24">
        <v>4.3</v>
      </c>
      <c r="D11" s="25">
        <v>310</v>
      </c>
      <c r="F11" t="s">
        <v>57</v>
      </c>
    </row>
    <row r="12" spans="1:11" x14ac:dyDescent="0.25">
      <c r="A12" t="s">
        <v>23</v>
      </c>
      <c r="B12" s="24">
        <v>7.1000000000000005</v>
      </c>
      <c r="C12" s="24">
        <v>4.4000000000000004</v>
      </c>
      <c r="D12" s="25">
        <v>430</v>
      </c>
      <c r="F12" s="40"/>
      <c r="G12" s="40" t="s">
        <v>60</v>
      </c>
      <c r="H12" s="40" t="s">
        <v>59</v>
      </c>
      <c r="I12" s="40" t="s">
        <v>61</v>
      </c>
      <c r="J12" s="40" t="s">
        <v>62</v>
      </c>
      <c r="K12" s="40" t="s">
        <v>86</v>
      </c>
    </row>
    <row r="13" spans="1:11" x14ac:dyDescent="0.25">
      <c r="A13" t="s">
        <v>24</v>
      </c>
      <c r="B13" s="24">
        <v>8.1</v>
      </c>
      <c r="C13" s="24">
        <v>3.8</v>
      </c>
      <c r="D13" s="25">
        <v>360</v>
      </c>
      <c r="F13" s="38" t="s">
        <v>83</v>
      </c>
      <c r="G13" s="38">
        <v>2</v>
      </c>
      <c r="H13" s="38">
        <v>282916.6130640739</v>
      </c>
      <c r="I13" s="38">
        <v>141458.30653203695</v>
      </c>
      <c r="J13" s="38">
        <v>22.401334768154019</v>
      </c>
      <c r="K13" s="38">
        <v>8.889452154311648E-5</v>
      </c>
    </row>
    <row r="14" spans="1:11" x14ac:dyDescent="0.25">
      <c r="A14" t="s">
        <v>25</v>
      </c>
      <c r="B14" s="24">
        <v>5.2</v>
      </c>
      <c r="C14" s="24">
        <v>3.7</v>
      </c>
      <c r="D14" s="25">
        <v>520</v>
      </c>
      <c r="F14" s="38" t="s">
        <v>84</v>
      </c>
      <c r="G14" s="38">
        <v>12</v>
      </c>
      <c r="H14" s="38">
        <v>75776.720269259473</v>
      </c>
      <c r="I14" s="38">
        <v>6314.7266891049558</v>
      </c>
      <c r="J14" s="38"/>
      <c r="K14" s="38"/>
    </row>
    <row r="15" spans="1:11" ht="15.75" thickBot="1" x14ac:dyDescent="0.3">
      <c r="A15" t="s">
        <v>26</v>
      </c>
      <c r="B15" s="24">
        <v>8.6999999999999993</v>
      </c>
      <c r="C15" s="24">
        <v>3.4000000000000004</v>
      </c>
      <c r="D15" s="25">
        <v>240</v>
      </c>
      <c r="F15" s="39" t="s">
        <v>67</v>
      </c>
      <c r="G15" s="39">
        <v>14</v>
      </c>
      <c r="H15" s="39">
        <v>358693.33333333337</v>
      </c>
      <c r="I15" s="39"/>
      <c r="J15" s="39"/>
      <c r="K15" s="39"/>
    </row>
    <row r="16" spans="1:11" ht="15.75" thickBot="1" x14ac:dyDescent="0.3">
      <c r="A16" t="s">
        <v>27</v>
      </c>
      <c r="B16" s="24">
        <v>7.5</v>
      </c>
      <c r="C16" s="24">
        <v>3.7</v>
      </c>
      <c r="D16" s="25">
        <v>350</v>
      </c>
    </row>
    <row r="17" spans="6:14" x14ac:dyDescent="0.25">
      <c r="F17" s="40"/>
      <c r="G17" s="40" t="s">
        <v>87</v>
      </c>
      <c r="H17" s="40" t="s">
        <v>81</v>
      </c>
      <c r="I17" s="40" t="s">
        <v>88</v>
      </c>
      <c r="J17" s="40" t="s">
        <v>63</v>
      </c>
      <c r="K17" s="40" t="s">
        <v>89</v>
      </c>
      <c r="L17" s="40" t="s">
        <v>90</v>
      </c>
      <c r="M17" s="40" t="s">
        <v>91</v>
      </c>
      <c r="N17" s="40" t="s">
        <v>92</v>
      </c>
    </row>
    <row r="18" spans="6:14" x14ac:dyDescent="0.25">
      <c r="F18" s="38" t="s">
        <v>85</v>
      </c>
      <c r="G18" s="38">
        <v>340.06544502617771</v>
      </c>
      <c r="H18" s="38">
        <v>307.96421851306695</v>
      </c>
      <c r="I18" s="38">
        <v>1.1042368709848955</v>
      </c>
      <c r="J18" s="38">
        <v>0.29114060310276324</v>
      </c>
      <c r="K18" s="38">
        <v>-330.93094534853435</v>
      </c>
      <c r="L18" s="38">
        <v>1011.0618354008898</v>
      </c>
      <c r="M18" s="38">
        <v>-330.93094534853435</v>
      </c>
      <c r="N18" s="38">
        <v>1011.0618354008898</v>
      </c>
    </row>
    <row r="19" spans="6:14" x14ac:dyDescent="0.25">
      <c r="F19" s="38" t="s">
        <v>10</v>
      </c>
      <c r="G19" s="38">
        <v>-66.099476439790578</v>
      </c>
      <c r="H19" s="38">
        <v>21.699918742501502</v>
      </c>
      <c r="I19" s="38">
        <v>-3.0460702283796124</v>
      </c>
      <c r="J19" s="38">
        <v>1.0158631921024924E-2</v>
      </c>
      <c r="K19" s="38">
        <v>-113.3795377986892</v>
      </c>
      <c r="L19" s="38">
        <v>-18.819415080891957</v>
      </c>
      <c r="M19" s="38">
        <v>-113.3795377986892</v>
      </c>
      <c r="N19" s="38">
        <v>-18.819415080891957</v>
      </c>
    </row>
    <row r="20" spans="6:14" ht="15.75" thickBot="1" x14ac:dyDescent="0.3">
      <c r="F20" s="39" t="s">
        <v>11</v>
      </c>
      <c r="G20" s="39">
        <v>138.16379955123418</v>
      </c>
      <c r="H20" s="39">
        <v>47.365091473524338</v>
      </c>
      <c r="I20" s="39">
        <v>2.9169963627846807</v>
      </c>
      <c r="J20" s="39">
        <v>1.2912166664661062E-2</v>
      </c>
      <c r="K20" s="39">
        <v>34.964130570357497</v>
      </c>
      <c r="L20" s="39">
        <v>241.36346853211086</v>
      </c>
      <c r="M20" s="39">
        <v>34.964130570357497</v>
      </c>
      <c r="N20" s="39">
        <v>241.36346853211086</v>
      </c>
    </row>
    <row r="24" spans="6:14" x14ac:dyDescent="0.25">
      <c r="F24" t="s">
        <v>93</v>
      </c>
    </row>
    <row r="25" spans="6:14" ht="15.75" thickBot="1" x14ac:dyDescent="0.3"/>
    <row r="26" spans="6:14" x14ac:dyDescent="0.25">
      <c r="F26" s="40" t="s">
        <v>94</v>
      </c>
      <c r="G26" s="40" t="s">
        <v>95</v>
      </c>
      <c r="H26" s="40" t="s">
        <v>96</v>
      </c>
    </row>
    <row r="27" spans="6:14" x14ac:dyDescent="0.25">
      <c r="F27" s="38">
        <v>1</v>
      </c>
      <c r="G27" s="38">
        <v>350.70493642483177</v>
      </c>
      <c r="H27" s="38">
        <v>-0.70493642483177155</v>
      </c>
    </row>
    <row r="28" spans="6:14" x14ac:dyDescent="0.25">
      <c r="F28" s="38">
        <v>2</v>
      </c>
      <c r="G28" s="38">
        <v>633.69109947643994</v>
      </c>
      <c r="H28" s="38">
        <v>186.30890052356006</v>
      </c>
    </row>
    <row r="29" spans="6:14" x14ac:dyDescent="0.25">
      <c r="F29" s="38">
        <v>3</v>
      </c>
      <c r="G29" s="38">
        <v>550.19633507853405</v>
      </c>
      <c r="H29" s="38">
        <v>-50.196335078534048</v>
      </c>
    </row>
    <row r="30" spans="6:14" x14ac:dyDescent="0.25">
      <c r="F30" s="38">
        <v>4</v>
      </c>
      <c r="G30" s="38">
        <v>314.67277486910984</v>
      </c>
      <c r="H30" s="38">
        <v>-14.672774869109844</v>
      </c>
    </row>
    <row r="31" spans="6:14" x14ac:dyDescent="0.25">
      <c r="F31" s="38">
        <v>5</v>
      </c>
      <c r="G31" s="38">
        <v>138.04225878833205</v>
      </c>
      <c r="H31" s="38">
        <v>91.957741211667951</v>
      </c>
    </row>
    <row r="32" spans="6:14" x14ac:dyDescent="0.25">
      <c r="F32" s="38">
        <v>6</v>
      </c>
      <c r="G32" s="38">
        <v>404.77748691099475</v>
      </c>
      <c r="H32" s="38">
        <v>-4.7774869109947531</v>
      </c>
    </row>
    <row r="33" spans="6:8" x14ac:dyDescent="0.25">
      <c r="F33" s="38">
        <v>7</v>
      </c>
      <c r="G33" s="38">
        <v>469.08750934928935</v>
      </c>
      <c r="H33" s="38">
        <v>-119.08750934928935</v>
      </c>
    </row>
    <row r="34" spans="6:8" x14ac:dyDescent="0.25">
      <c r="F34" s="38">
        <v>8</v>
      </c>
      <c r="G34" s="38">
        <v>612.66828721017202</v>
      </c>
      <c r="H34" s="38">
        <v>17.331712789827975</v>
      </c>
    </row>
    <row r="35" spans="6:8" x14ac:dyDescent="0.25">
      <c r="F35" s="38">
        <v>9</v>
      </c>
      <c r="G35" s="38">
        <v>241.36686611817504</v>
      </c>
      <c r="H35" s="38">
        <v>8.6331338818249606</v>
      </c>
    </row>
    <row r="36" spans="6:8" x14ac:dyDescent="0.25">
      <c r="F36" s="38">
        <v>10</v>
      </c>
      <c r="G36" s="38">
        <v>418.59386686611822</v>
      </c>
      <c r="H36" s="38">
        <v>-108.59386686611822</v>
      </c>
    </row>
    <row r="37" spans="6:8" x14ac:dyDescent="0.25">
      <c r="F37" s="38">
        <v>11</v>
      </c>
      <c r="G37" s="38">
        <v>478.67988032909506</v>
      </c>
      <c r="H37" s="38">
        <v>-48.679880329095056</v>
      </c>
    </row>
    <row r="38" spans="6:8" x14ac:dyDescent="0.25">
      <c r="F38" s="38">
        <v>12</v>
      </c>
      <c r="G38" s="38">
        <v>329.68212415856397</v>
      </c>
      <c r="H38" s="38">
        <v>30.317875841436035</v>
      </c>
    </row>
    <row r="39" spans="6:8" x14ac:dyDescent="0.25">
      <c r="F39" s="38">
        <v>13</v>
      </c>
      <c r="G39" s="38">
        <v>507.55422587883317</v>
      </c>
      <c r="H39" s="38">
        <v>12.445774121166835</v>
      </c>
    </row>
    <row r="40" spans="6:8" x14ac:dyDescent="0.25">
      <c r="F40" s="38">
        <v>14</v>
      </c>
      <c r="G40" s="38">
        <v>234.75691847419603</v>
      </c>
      <c r="H40" s="38">
        <v>5.2430815258039729</v>
      </c>
    </row>
    <row r="41" spans="6:8" ht="15.75" thickBot="1" x14ac:dyDescent="0.3">
      <c r="F41" s="39">
        <v>15</v>
      </c>
      <c r="G41" s="39">
        <v>355.52543006731486</v>
      </c>
      <c r="H41" s="39">
        <v>-5.5254300673148578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C2195-3684-4E14-A508-63E0C10D3D2D}">
  <dimension ref="A1:O36"/>
  <sheetViews>
    <sheetView topLeftCell="A6" zoomScaleNormal="100" workbookViewId="0">
      <selection activeCell="E16" sqref="E16"/>
    </sheetView>
  </sheetViews>
  <sheetFormatPr defaultRowHeight="15" x14ac:dyDescent="0.25"/>
  <cols>
    <col min="1" max="1" width="19.5703125" style="26" bestFit="1" customWidth="1"/>
    <col min="2" max="2" width="21.85546875" style="28" bestFit="1" customWidth="1"/>
    <col min="3" max="3" width="22.7109375" bestFit="1" customWidth="1"/>
    <col min="4" max="4" width="22.7109375" customWidth="1"/>
    <col min="5" max="5" width="11.5703125" style="28" customWidth="1"/>
  </cols>
  <sheetData>
    <row r="1" spans="1:12" ht="15.75" thickBot="1" x14ac:dyDescent="0.3">
      <c r="A1" s="23" t="s">
        <v>9</v>
      </c>
      <c r="B1" s="23" t="s">
        <v>43</v>
      </c>
      <c r="C1" s="23" t="s">
        <v>28</v>
      </c>
      <c r="D1" s="23" t="s">
        <v>29</v>
      </c>
      <c r="E1" s="23" t="s">
        <v>30</v>
      </c>
      <c r="G1" s="3" t="s">
        <v>46</v>
      </c>
      <c r="H1" s="36"/>
      <c r="I1" s="36"/>
      <c r="J1" s="36"/>
    </row>
    <row r="2" spans="1:12" x14ac:dyDescent="0.25">
      <c r="A2" s="26" t="s">
        <v>31</v>
      </c>
      <c r="B2" s="27">
        <v>5</v>
      </c>
      <c r="C2" s="27">
        <v>4</v>
      </c>
      <c r="D2" s="27">
        <v>1</v>
      </c>
      <c r="E2" s="26" t="s">
        <v>2</v>
      </c>
      <c r="G2" t="s">
        <v>76</v>
      </c>
    </row>
    <row r="3" spans="1:12" ht="15.75" thickBot="1" x14ac:dyDescent="0.3">
      <c r="A3" s="26" t="s">
        <v>32</v>
      </c>
      <c r="B3" s="27">
        <v>19</v>
      </c>
      <c r="C3" s="27">
        <v>14</v>
      </c>
      <c r="D3" s="27">
        <v>0</v>
      </c>
      <c r="E3" s="26" t="s">
        <v>33</v>
      </c>
    </row>
    <row r="4" spans="1:12" x14ac:dyDescent="0.25">
      <c r="A4" s="26" t="s">
        <v>34</v>
      </c>
      <c r="B4" s="27">
        <v>20</v>
      </c>
      <c r="C4" s="27">
        <v>15</v>
      </c>
      <c r="D4" s="27">
        <v>0</v>
      </c>
      <c r="E4" s="26" t="s">
        <v>33</v>
      </c>
      <c r="G4" s="42" t="s">
        <v>77</v>
      </c>
      <c r="H4" s="42"/>
    </row>
    <row r="5" spans="1:12" x14ac:dyDescent="0.25">
      <c r="A5" s="26" t="s">
        <v>35</v>
      </c>
      <c r="B5" s="27">
        <v>19</v>
      </c>
      <c r="C5" s="27">
        <v>11</v>
      </c>
      <c r="D5" s="27">
        <v>0</v>
      </c>
      <c r="E5" s="26" t="s">
        <v>33</v>
      </c>
      <c r="G5" s="38" t="s">
        <v>78</v>
      </c>
      <c r="H5" s="38">
        <v>0.97878278525604856</v>
      </c>
    </row>
    <row r="6" spans="1:12" x14ac:dyDescent="0.25">
      <c r="A6" s="26" t="s">
        <v>36</v>
      </c>
      <c r="B6" s="27">
        <v>10</v>
      </c>
      <c r="C6" s="27">
        <v>8</v>
      </c>
      <c r="D6" s="27">
        <v>1</v>
      </c>
      <c r="E6" s="26" t="s">
        <v>2</v>
      </c>
      <c r="G6" s="38" t="s">
        <v>79</v>
      </c>
      <c r="H6" s="38">
        <v>0.95801574071358797</v>
      </c>
    </row>
    <row r="7" spans="1:12" x14ac:dyDescent="0.25">
      <c r="A7" s="26" t="s">
        <v>37</v>
      </c>
      <c r="B7" s="27">
        <v>25</v>
      </c>
      <c r="C7" s="27">
        <v>21</v>
      </c>
      <c r="D7" s="27">
        <v>0</v>
      </c>
      <c r="E7" s="26" t="s">
        <v>33</v>
      </c>
      <c r="G7" s="38" t="s">
        <v>80</v>
      </c>
      <c r="H7" s="38">
        <v>0.94602023806032753</v>
      </c>
    </row>
    <row r="8" spans="1:12" x14ac:dyDescent="0.25">
      <c r="A8" s="26" t="s">
        <v>38</v>
      </c>
      <c r="B8" s="27">
        <v>6</v>
      </c>
      <c r="C8" s="27">
        <v>6</v>
      </c>
      <c r="D8" s="27">
        <v>1</v>
      </c>
      <c r="E8" s="26" t="s">
        <v>2</v>
      </c>
      <c r="G8" s="38" t="s">
        <v>81</v>
      </c>
      <c r="H8" s="38">
        <v>1.72843279759282</v>
      </c>
    </row>
    <row r="9" spans="1:12" ht="15.75" thickBot="1" x14ac:dyDescent="0.3">
      <c r="A9" s="26" t="s">
        <v>20</v>
      </c>
      <c r="B9" s="27">
        <v>13</v>
      </c>
      <c r="C9" s="27">
        <v>9</v>
      </c>
      <c r="D9" s="27">
        <v>1</v>
      </c>
      <c r="E9" s="26" t="s">
        <v>2</v>
      </c>
      <c r="G9" s="39" t="s">
        <v>82</v>
      </c>
      <c r="H9" s="39">
        <v>10</v>
      </c>
    </row>
    <row r="10" spans="1:12" x14ac:dyDescent="0.25">
      <c r="A10" s="26" t="s">
        <v>13</v>
      </c>
      <c r="B10" s="27">
        <v>5</v>
      </c>
      <c r="C10" s="27">
        <v>5</v>
      </c>
      <c r="D10" s="27">
        <v>1</v>
      </c>
      <c r="E10" s="26" t="s">
        <v>2</v>
      </c>
    </row>
    <row r="11" spans="1:12" ht="15.75" thickBot="1" x14ac:dyDescent="0.3">
      <c r="A11" s="26" t="s">
        <v>39</v>
      </c>
      <c r="B11" s="27">
        <v>21</v>
      </c>
      <c r="C11" s="27">
        <v>14</v>
      </c>
      <c r="D11" s="27">
        <v>0</v>
      </c>
      <c r="E11" s="26" t="s">
        <v>33</v>
      </c>
      <c r="G11" t="s">
        <v>57</v>
      </c>
    </row>
    <row r="12" spans="1:12" x14ac:dyDescent="0.25">
      <c r="G12" s="40"/>
      <c r="H12" s="40" t="s">
        <v>60</v>
      </c>
      <c r="I12" s="40" t="s">
        <v>59</v>
      </c>
      <c r="J12" s="40" t="s">
        <v>61</v>
      </c>
      <c r="K12" s="40" t="s">
        <v>62</v>
      </c>
      <c r="L12" s="40" t="s">
        <v>86</v>
      </c>
    </row>
    <row r="13" spans="1:12" x14ac:dyDescent="0.25">
      <c r="G13" s="38" t="s">
        <v>83</v>
      </c>
      <c r="H13" s="38">
        <v>2</v>
      </c>
      <c r="I13" s="38">
        <v>477.18764044943816</v>
      </c>
      <c r="J13" s="38">
        <v>238.59382022471908</v>
      </c>
      <c r="K13" s="38">
        <v>79.86457661723621</v>
      </c>
      <c r="L13" s="38">
        <v>1.5163614473349429E-5</v>
      </c>
    </row>
    <row r="14" spans="1:12" x14ac:dyDescent="0.25">
      <c r="G14" s="38" t="s">
        <v>84</v>
      </c>
      <c r="H14" s="38">
        <v>7</v>
      </c>
      <c r="I14" s="38">
        <v>20.912359550561792</v>
      </c>
      <c r="J14" s="38">
        <v>2.9874799357945419</v>
      </c>
      <c r="K14" s="38"/>
      <c r="L14" s="38"/>
    </row>
    <row r="15" spans="1:12" ht="15.75" thickBot="1" x14ac:dyDescent="0.3">
      <c r="G15" s="39" t="s">
        <v>67</v>
      </c>
      <c r="H15" s="39">
        <v>9</v>
      </c>
      <c r="I15" s="39">
        <v>498.09999999999997</v>
      </c>
      <c r="J15" s="39"/>
      <c r="K15" s="39"/>
      <c r="L15" s="39"/>
    </row>
    <row r="16" spans="1:12" ht="15.75" thickBot="1" x14ac:dyDescent="0.3"/>
    <row r="17" spans="7:15" x14ac:dyDescent="0.25">
      <c r="G17" s="40"/>
      <c r="H17" s="40" t="s">
        <v>87</v>
      </c>
      <c r="I17" s="40" t="s">
        <v>81</v>
      </c>
      <c r="J17" s="40" t="s">
        <v>88</v>
      </c>
      <c r="K17" s="40" t="s">
        <v>63</v>
      </c>
      <c r="L17" s="40" t="s">
        <v>89</v>
      </c>
      <c r="M17" s="40" t="s">
        <v>90</v>
      </c>
      <c r="N17" s="40" t="s">
        <v>91</v>
      </c>
      <c r="O17" s="40" t="s">
        <v>92</v>
      </c>
    </row>
    <row r="18" spans="7:15" x14ac:dyDescent="0.25">
      <c r="G18" s="38" t="s">
        <v>85</v>
      </c>
      <c r="H18" s="38">
        <v>7.6539325842696657</v>
      </c>
      <c r="I18" s="38">
        <v>3.1683226250135195</v>
      </c>
      <c r="J18" s="38">
        <v>2.4157680546301705</v>
      </c>
      <c r="K18" s="38">
        <v>4.6379463058046806E-2</v>
      </c>
      <c r="L18" s="38">
        <v>0.16204006829258422</v>
      </c>
      <c r="M18" s="38">
        <v>15.145825100246746</v>
      </c>
      <c r="N18" s="38">
        <v>0.16204006829258422</v>
      </c>
      <c r="O18" s="38">
        <v>15.145825100246746</v>
      </c>
    </row>
    <row r="19" spans="7:15" x14ac:dyDescent="0.25">
      <c r="G19" s="38" t="s">
        <v>28</v>
      </c>
      <c r="H19" s="38">
        <v>0.87640449438202228</v>
      </c>
      <c r="I19" s="38">
        <v>0.20483893151030372</v>
      </c>
      <c r="J19" s="38">
        <v>4.2785054965878775</v>
      </c>
      <c r="K19" s="38">
        <v>3.6621098057343219E-3</v>
      </c>
      <c r="L19" s="38">
        <v>0.39203738926240461</v>
      </c>
      <c r="M19" s="38">
        <v>1.3607715995016401</v>
      </c>
      <c r="N19" s="38">
        <v>0.39203738926240461</v>
      </c>
      <c r="O19" s="38">
        <v>1.3607715995016401</v>
      </c>
    </row>
    <row r="20" spans="7:15" ht="15.75" thickBot="1" x14ac:dyDescent="0.3">
      <c r="G20" s="39" t="s">
        <v>29</v>
      </c>
      <c r="H20" s="39">
        <v>-5.4629213483146071</v>
      </c>
      <c r="I20" s="39">
        <v>2.073229055510331</v>
      </c>
      <c r="J20" s="39">
        <v>-2.6349820507266113</v>
      </c>
      <c r="K20" s="39">
        <v>3.3668001435951958E-2</v>
      </c>
      <c r="L20" s="39">
        <v>-10.36532905208114</v>
      </c>
      <c r="M20" s="39">
        <v>-0.56051364454807473</v>
      </c>
      <c r="N20" s="39">
        <v>-10.36532905208114</v>
      </c>
      <c r="O20" s="39">
        <v>-0.56051364454807473</v>
      </c>
    </row>
    <row r="24" spans="7:15" x14ac:dyDescent="0.25">
      <c r="G24" t="s">
        <v>93</v>
      </c>
    </row>
    <row r="25" spans="7:15" ht="15.75" thickBot="1" x14ac:dyDescent="0.3"/>
    <row r="26" spans="7:15" x14ac:dyDescent="0.25">
      <c r="G26" s="40" t="s">
        <v>94</v>
      </c>
      <c r="H26" s="40" t="s">
        <v>97</v>
      </c>
      <c r="I26" s="40" t="s">
        <v>96</v>
      </c>
    </row>
    <row r="27" spans="7:15" x14ac:dyDescent="0.25">
      <c r="G27" s="38">
        <v>1</v>
      </c>
      <c r="H27" s="38">
        <v>5.6966292134831473</v>
      </c>
      <c r="I27" s="38">
        <v>-0.69662921348314732</v>
      </c>
    </row>
    <row r="28" spans="7:15" x14ac:dyDescent="0.25">
      <c r="G28" s="38">
        <v>2</v>
      </c>
      <c r="H28" s="38">
        <v>19.923595505617978</v>
      </c>
      <c r="I28" s="38">
        <v>-0.92359550561797832</v>
      </c>
    </row>
    <row r="29" spans="7:15" x14ac:dyDescent="0.25">
      <c r="G29" s="38">
        <v>3</v>
      </c>
      <c r="H29" s="38">
        <v>20.8</v>
      </c>
      <c r="I29" s="38">
        <v>-0.80000000000000071</v>
      </c>
    </row>
    <row r="30" spans="7:15" x14ac:dyDescent="0.25">
      <c r="G30" s="38">
        <v>4</v>
      </c>
      <c r="H30" s="38">
        <v>17.294382022471911</v>
      </c>
      <c r="I30" s="38">
        <v>1.7056179775280889</v>
      </c>
    </row>
    <row r="31" spans="7:15" x14ac:dyDescent="0.25">
      <c r="G31" s="38">
        <v>5</v>
      </c>
      <c r="H31" s="38">
        <v>9.2022471910112369</v>
      </c>
      <c r="I31" s="38">
        <v>0.79775280898876311</v>
      </c>
    </row>
    <row r="32" spans="7:15" x14ac:dyDescent="0.25">
      <c r="G32" s="38">
        <v>6</v>
      </c>
      <c r="H32" s="38">
        <v>26.058426966292132</v>
      </c>
      <c r="I32" s="38">
        <v>-1.0584269662921315</v>
      </c>
    </row>
    <row r="33" spans="7:9" x14ac:dyDescent="0.25">
      <c r="G33" s="38">
        <v>7</v>
      </c>
      <c r="H33" s="38">
        <v>7.4494382022471921</v>
      </c>
      <c r="I33" s="38">
        <v>-1.4494382022471921</v>
      </c>
    </row>
    <row r="34" spans="7:9" x14ac:dyDescent="0.25">
      <c r="G34" s="38">
        <v>8</v>
      </c>
      <c r="H34" s="38">
        <v>10.078651685393259</v>
      </c>
      <c r="I34" s="38">
        <v>2.9213483146067407</v>
      </c>
    </row>
    <row r="35" spans="7:9" x14ac:dyDescent="0.25">
      <c r="G35" s="38">
        <v>9</v>
      </c>
      <c r="H35" s="38">
        <v>6.5730337078651697</v>
      </c>
      <c r="I35" s="38">
        <v>-1.5730337078651697</v>
      </c>
    </row>
    <row r="36" spans="7:9" ht="15.75" thickBot="1" x14ac:dyDescent="0.3">
      <c r="G36" s="39">
        <v>10</v>
      </c>
      <c r="H36" s="39">
        <v>19.923595505617978</v>
      </c>
      <c r="I36" s="39">
        <v>1.0764044943820217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DC4A-9B1F-47A6-9E69-54E83B3C55A4}">
  <dimension ref="A1:G110"/>
  <sheetViews>
    <sheetView topLeftCell="A21" zoomScaleNormal="100" workbookViewId="0">
      <selection activeCell="D3" sqref="D3"/>
    </sheetView>
  </sheetViews>
  <sheetFormatPr defaultColWidth="8.7109375" defaultRowHeight="15" x14ac:dyDescent="0.25"/>
  <cols>
    <col min="1" max="1" width="14" style="29" bestFit="1" customWidth="1"/>
    <col min="2" max="2" width="8.140625" style="29" bestFit="1" customWidth="1"/>
    <col min="3" max="16384" width="8.7109375" style="29"/>
  </cols>
  <sheetData>
    <row r="1" spans="1:7" ht="15.75" thickBot="1" x14ac:dyDescent="0.3">
      <c r="A1" s="23" t="s">
        <v>40</v>
      </c>
      <c r="B1" s="23" t="s">
        <v>41</v>
      </c>
      <c r="C1"/>
      <c r="D1" s="3" t="s">
        <v>47</v>
      </c>
      <c r="E1" s="37"/>
      <c r="F1" s="37"/>
      <c r="G1" s="37"/>
    </row>
    <row r="2" spans="1:7" x14ac:dyDescent="0.25">
      <c r="A2" s="30">
        <v>45924</v>
      </c>
      <c r="B2" s="31">
        <v>0.26397745101381659</v>
      </c>
      <c r="C2" t="e">
        <v>#N/A</v>
      </c>
    </row>
    <row r="3" spans="1:7" x14ac:dyDescent="0.25">
      <c r="A3" s="30">
        <v>45925</v>
      </c>
      <c r="B3" s="31">
        <v>0.52315913371441403</v>
      </c>
      <c r="C3" s="32">
        <f>B2</f>
        <v>0.26397745101381659</v>
      </c>
    </row>
    <row r="4" spans="1:7" x14ac:dyDescent="0.25">
      <c r="A4" s="30">
        <v>45926</v>
      </c>
      <c r="B4" s="31">
        <v>0.57892090256739914</v>
      </c>
      <c r="C4">
        <f t="shared" ref="C4:C44" si="0">0.25*B3+0.75*C3</f>
        <v>0.32877287168896596</v>
      </c>
    </row>
    <row r="5" spans="1:7" x14ac:dyDescent="0.25">
      <c r="A5" s="30">
        <v>45927</v>
      </c>
      <c r="B5" s="31">
        <v>0.6152836372117988</v>
      </c>
      <c r="C5">
        <f t="shared" si="0"/>
        <v>0.39130987940857426</v>
      </c>
    </row>
    <row r="6" spans="1:7" x14ac:dyDescent="0.25">
      <c r="A6" s="30">
        <v>45928</v>
      </c>
      <c r="B6" s="31">
        <v>0.79566229158084323</v>
      </c>
      <c r="C6">
        <f t="shared" si="0"/>
        <v>0.44730331885938035</v>
      </c>
    </row>
    <row r="7" spans="1:7" x14ac:dyDescent="0.25">
      <c r="A7" s="30">
        <v>45929</v>
      </c>
      <c r="B7" s="31">
        <v>0.59613105626323537</v>
      </c>
      <c r="C7">
        <f t="shared" si="0"/>
        <v>0.53439306203974601</v>
      </c>
    </row>
    <row r="8" spans="1:7" x14ac:dyDescent="0.25">
      <c r="A8" s="30">
        <v>45930</v>
      </c>
      <c r="B8" s="31">
        <v>0.34915543995715986</v>
      </c>
      <c r="C8">
        <f t="shared" si="0"/>
        <v>0.54982756059561844</v>
      </c>
    </row>
    <row r="9" spans="1:7" x14ac:dyDescent="0.25">
      <c r="A9" s="30">
        <v>45931</v>
      </c>
      <c r="B9" s="31">
        <v>0.23043056123044139</v>
      </c>
      <c r="C9">
        <f t="shared" si="0"/>
        <v>0.49965953043600381</v>
      </c>
    </row>
    <row r="10" spans="1:7" x14ac:dyDescent="0.25">
      <c r="A10" s="30">
        <v>45932</v>
      </c>
      <c r="B10" s="31">
        <v>0.48397769248989625</v>
      </c>
      <c r="C10">
        <f t="shared" si="0"/>
        <v>0.43235228813461318</v>
      </c>
    </row>
    <row r="11" spans="1:7" x14ac:dyDescent="0.25">
      <c r="A11" s="30">
        <v>45933</v>
      </c>
      <c r="B11" s="31">
        <v>0.47689588243400938</v>
      </c>
      <c r="C11">
        <f t="shared" si="0"/>
        <v>0.44525863922343395</v>
      </c>
    </row>
    <row r="12" spans="1:7" x14ac:dyDescent="0.25">
      <c r="A12" s="30">
        <v>45934</v>
      </c>
      <c r="B12" s="31">
        <v>0.36739856722659425</v>
      </c>
      <c r="C12">
        <f t="shared" si="0"/>
        <v>0.45316795002607779</v>
      </c>
    </row>
    <row r="13" spans="1:7" x14ac:dyDescent="0.25">
      <c r="A13" s="30">
        <v>45935</v>
      </c>
      <c r="B13" s="31">
        <v>0.42969518787093186</v>
      </c>
      <c r="C13">
        <f t="shared" si="0"/>
        <v>0.43172560432620688</v>
      </c>
    </row>
    <row r="14" spans="1:7" x14ac:dyDescent="0.25">
      <c r="A14" s="30">
        <v>45936</v>
      </c>
      <c r="B14" s="31">
        <v>0.68757178924447848</v>
      </c>
      <c r="C14">
        <f t="shared" si="0"/>
        <v>0.4312180002123881</v>
      </c>
    </row>
    <row r="15" spans="1:7" x14ac:dyDescent="0.25">
      <c r="A15" s="30">
        <v>45937</v>
      </c>
      <c r="B15" s="31">
        <v>0.38659027341654711</v>
      </c>
      <c r="C15">
        <f t="shared" si="0"/>
        <v>0.49530644747041064</v>
      </c>
    </row>
    <row r="16" spans="1:7" x14ac:dyDescent="0.25">
      <c r="A16" s="30">
        <v>45938</v>
      </c>
      <c r="B16" s="31">
        <v>0.33636361025981998</v>
      </c>
      <c r="C16">
        <f t="shared" si="0"/>
        <v>0.46812740395694474</v>
      </c>
    </row>
    <row r="17" spans="1:3" x14ac:dyDescent="0.25">
      <c r="A17" s="30">
        <v>45939</v>
      </c>
      <c r="B17" s="31">
        <v>0.51465820474901114</v>
      </c>
      <c r="C17">
        <f t="shared" si="0"/>
        <v>0.43518645553266355</v>
      </c>
    </row>
    <row r="18" spans="1:3" x14ac:dyDescent="0.25">
      <c r="A18" s="30">
        <v>45940</v>
      </c>
      <c r="B18" s="31">
        <v>0.29540760281636652</v>
      </c>
      <c r="C18">
        <f t="shared" si="0"/>
        <v>0.45505439283675048</v>
      </c>
    </row>
    <row r="19" spans="1:3" x14ac:dyDescent="0.25">
      <c r="A19" s="30">
        <v>45941</v>
      </c>
      <c r="B19" s="31">
        <v>0.4200678458766901</v>
      </c>
      <c r="C19">
        <f t="shared" si="0"/>
        <v>0.41514269533165449</v>
      </c>
    </row>
    <row r="20" spans="1:3" x14ac:dyDescent="0.25">
      <c r="A20" s="30">
        <v>45942</v>
      </c>
      <c r="B20" s="31">
        <v>0.28835621107932369</v>
      </c>
      <c r="C20">
        <f t="shared" si="0"/>
        <v>0.41637398296791339</v>
      </c>
    </row>
    <row r="21" spans="1:3" x14ac:dyDescent="0.25">
      <c r="A21" s="30">
        <v>45943</v>
      </c>
      <c r="B21" s="31">
        <v>0.33401541780577015</v>
      </c>
      <c r="C21">
        <f t="shared" si="0"/>
        <v>0.38436953999576595</v>
      </c>
    </row>
    <row r="22" spans="1:3" x14ac:dyDescent="0.25">
      <c r="A22" s="30">
        <v>45944</v>
      </c>
      <c r="B22" s="31">
        <v>0.51761638556972334</v>
      </c>
      <c r="C22">
        <f t="shared" si="0"/>
        <v>0.37178100944826703</v>
      </c>
    </row>
    <row r="23" spans="1:3" x14ac:dyDescent="0.25">
      <c r="A23" s="30">
        <v>45945</v>
      </c>
      <c r="B23" s="31">
        <v>0.4954579281873851</v>
      </c>
      <c r="C23">
        <f t="shared" si="0"/>
        <v>0.40823985347863112</v>
      </c>
    </row>
    <row r="24" spans="1:3" x14ac:dyDescent="0.25">
      <c r="A24" s="30">
        <v>45946</v>
      </c>
      <c r="B24" s="31">
        <v>0.3053376022542868</v>
      </c>
      <c r="C24">
        <f t="shared" si="0"/>
        <v>0.43004437215581959</v>
      </c>
    </row>
    <row r="25" spans="1:3" x14ac:dyDescent="0.25">
      <c r="A25" s="30">
        <v>45947</v>
      </c>
      <c r="B25" s="31">
        <v>0.25188531086551746</v>
      </c>
      <c r="C25">
        <f t="shared" si="0"/>
        <v>0.3988676796804364</v>
      </c>
    </row>
    <row r="26" spans="1:3" x14ac:dyDescent="0.25">
      <c r="A26" s="30">
        <v>45948</v>
      </c>
      <c r="B26" s="31">
        <v>0.4269235781657727</v>
      </c>
      <c r="C26">
        <f t="shared" si="0"/>
        <v>0.36212208747670666</v>
      </c>
    </row>
    <row r="27" spans="1:3" x14ac:dyDescent="0.25">
      <c r="A27" s="30">
        <v>45949</v>
      </c>
      <c r="B27" s="31">
        <v>0.22720481947456747</v>
      </c>
      <c r="C27">
        <f t="shared" si="0"/>
        <v>0.37832246014897319</v>
      </c>
    </row>
    <row r="28" spans="1:3" x14ac:dyDescent="0.25">
      <c r="A28" s="30">
        <v>45950</v>
      </c>
      <c r="B28" s="31">
        <v>0.17474501729583575</v>
      </c>
      <c r="C28">
        <f t="shared" si="0"/>
        <v>0.34054304998037177</v>
      </c>
    </row>
    <row r="29" spans="1:3" x14ac:dyDescent="0.25">
      <c r="A29" s="30">
        <v>45951</v>
      </c>
      <c r="B29" s="31">
        <v>0.5428896768469893</v>
      </c>
      <c r="C29">
        <f t="shared" si="0"/>
        <v>0.29909354180923781</v>
      </c>
    </row>
    <row r="30" spans="1:3" x14ac:dyDescent="0.25">
      <c r="A30" s="30">
        <v>45952</v>
      </c>
      <c r="B30" s="31">
        <v>0.38459123259797218</v>
      </c>
      <c r="C30">
        <f t="shared" si="0"/>
        <v>0.36004257556867569</v>
      </c>
    </row>
    <row r="31" spans="1:3" x14ac:dyDescent="0.25">
      <c r="A31" s="30">
        <v>45953</v>
      </c>
      <c r="B31" s="31">
        <v>0.20689052063270844</v>
      </c>
      <c r="C31">
        <f t="shared" si="0"/>
        <v>0.36617973982599977</v>
      </c>
    </row>
    <row r="32" spans="1:3" x14ac:dyDescent="0.25">
      <c r="A32" s="30">
        <v>45954</v>
      </c>
      <c r="B32" s="31">
        <v>0.56283243027739727</v>
      </c>
      <c r="C32">
        <f t="shared" si="0"/>
        <v>0.32635743502767695</v>
      </c>
    </row>
    <row r="33" spans="1:3" x14ac:dyDescent="0.25">
      <c r="A33" s="30">
        <v>45955</v>
      </c>
      <c r="B33" s="31">
        <v>0.29951396366088506</v>
      </c>
      <c r="C33">
        <f t="shared" si="0"/>
        <v>0.38547618384010701</v>
      </c>
    </row>
    <row r="34" spans="1:3" x14ac:dyDescent="0.25">
      <c r="A34" s="30">
        <v>45956</v>
      </c>
      <c r="B34" s="31">
        <v>0.45497005349914577</v>
      </c>
      <c r="C34">
        <f t="shared" si="0"/>
        <v>0.3639856287953015</v>
      </c>
    </row>
    <row r="35" spans="1:3" x14ac:dyDescent="0.25">
      <c r="A35" s="30">
        <v>45957</v>
      </c>
      <c r="B35" s="31">
        <v>0.26275248678849744</v>
      </c>
      <c r="C35">
        <f t="shared" si="0"/>
        <v>0.38673173497126256</v>
      </c>
    </row>
    <row r="36" spans="1:3" x14ac:dyDescent="0.25">
      <c r="A36" s="30">
        <v>45958</v>
      </c>
      <c r="B36" s="31">
        <v>0.41564704765789862</v>
      </c>
      <c r="C36">
        <f t="shared" si="0"/>
        <v>0.35573692292557124</v>
      </c>
    </row>
    <row r="37" spans="1:3" x14ac:dyDescent="0.25">
      <c r="A37" s="30">
        <v>45959</v>
      </c>
      <c r="B37" s="31">
        <v>0.23074248257796204</v>
      </c>
      <c r="C37">
        <f t="shared" si="0"/>
        <v>0.37071445410865306</v>
      </c>
    </row>
    <row r="38" spans="1:3" x14ac:dyDescent="0.25">
      <c r="A38" s="30">
        <v>45960</v>
      </c>
      <c r="B38" s="31">
        <v>0.5640985693248679</v>
      </c>
      <c r="C38">
        <f t="shared" si="0"/>
        <v>0.33572146122598029</v>
      </c>
    </row>
    <row r="39" spans="1:3" x14ac:dyDescent="0.25">
      <c r="A39" s="30">
        <v>45961</v>
      </c>
      <c r="B39" s="31">
        <v>0.29331241593714197</v>
      </c>
      <c r="C39">
        <f t="shared" si="0"/>
        <v>0.39281573825070221</v>
      </c>
    </row>
    <row r="40" spans="1:3" x14ac:dyDescent="0.25">
      <c r="A40" s="30">
        <v>45962</v>
      </c>
      <c r="B40" s="31">
        <v>0.32624798270759159</v>
      </c>
      <c r="C40">
        <f t="shared" si="0"/>
        <v>0.36793990767231211</v>
      </c>
    </row>
    <row r="41" spans="1:3" x14ac:dyDescent="0.25">
      <c r="A41" s="30">
        <v>45963</v>
      </c>
      <c r="B41" s="31">
        <v>0.1976668611668933</v>
      </c>
      <c r="C41">
        <f t="shared" si="0"/>
        <v>0.35751692643113198</v>
      </c>
    </row>
    <row r="42" spans="1:3" x14ac:dyDescent="0.25">
      <c r="A42" s="30">
        <v>45964</v>
      </c>
      <c r="B42" s="31">
        <v>0.30745529741519406</v>
      </c>
      <c r="C42">
        <f t="shared" si="0"/>
        <v>0.31755441011507229</v>
      </c>
    </row>
    <row r="43" spans="1:3" x14ac:dyDescent="0.25">
      <c r="A43" s="30">
        <v>45965</v>
      </c>
      <c r="B43" s="31">
        <v>0.31586961926546503</v>
      </c>
      <c r="C43">
        <f t="shared" si="0"/>
        <v>0.31502963194010275</v>
      </c>
    </row>
    <row r="44" spans="1:3" x14ac:dyDescent="0.25">
      <c r="A44" s="30">
        <v>45966</v>
      </c>
      <c r="B44" s="31">
        <v>0.3858229065076012</v>
      </c>
      <c r="C44">
        <f t="shared" si="0"/>
        <v>0.31523962877144335</v>
      </c>
    </row>
    <row r="45" spans="1:3" x14ac:dyDescent="0.25">
      <c r="A45" s="30"/>
      <c r="C45"/>
    </row>
    <row r="46" spans="1:3" x14ac:dyDescent="0.25">
      <c r="A46" s="30"/>
      <c r="C46"/>
    </row>
    <row r="47" spans="1:3" x14ac:dyDescent="0.25">
      <c r="A47" s="30"/>
      <c r="C47"/>
    </row>
    <row r="48" spans="1:3" x14ac:dyDescent="0.25">
      <c r="A48" s="30"/>
      <c r="C48"/>
    </row>
    <row r="49" spans="1:3" x14ac:dyDescent="0.25">
      <c r="A49" s="30"/>
      <c r="C49"/>
    </row>
    <row r="50" spans="1:3" x14ac:dyDescent="0.25">
      <c r="A50" s="30"/>
      <c r="C50"/>
    </row>
    <row r="51" spans="1:3" x14ac:dyDescent="0.25">
      <c r="A51" s="30"/>
    </row>
    <row r="52" spans="1:3" x14ac:dyDescent="0.25">
      <c r="A52" s="30"/>
    </row>
    <row r="53" spans="1:3" x14ac:dyDescent="0.25">
      <c r="A53" s="30"/>
    </row>
    <row r="54" spans="1:3" x14ac:dyDescent="0.25">
      <c r="A54" s="30"/>
    </row>
    <row r="55" spans="1:3" x14ac:dyDescent="0.25">
      <c r="A55" s="30"/>
    </row>
    <row r="56" spans="1:3" x14ac:dyDescent="0.25">
      <c r="A56" s="30"/>
    </row>
    <row r="57" spans="1:3" x14ac:dyDescent="0.25">
      <c r="A57" s="30"/>
    </row>
    <row r="58" spans="1:3" x14ac:dyDescent="0.25">
      <c r="A58" s="30"/>
    </row>
    <row r="59" spans="1:3" x14ac:dyDescent="0.25">
      <c r="A59" s="30"/>
    </row>
    <row r="60" spans="1:3" x14ac:dyDescent="0.25">
      <c r="A60" s="30"/>
    </row>
    <row r="61" spans="1:3" x14ac:dyDescent="0.25">
      <c r="A61" s="30"/>
    </row>
    <row r="62" spans="1:3" x14ac:dyDescent="0.25">
      <c r="A62" s="30"/>
    </row>
    <row r="63" spans="1:3" x14ac:dyDescent="0.25">
      <c r="A63" s="30"/>
    </row>
    <row r="64" spans="1:3" x14ac:dyDescent="0.25">
      <c r="A64" s="30"/>
    </row>
    <row r="65" spans="1:1" x14ac:dyDescent="0.25">
      <c r="A65" s="30"/>
    </row>
    <row r="66" spans="1:1" x14ac:dyDescent="0.25">
      <c r="A66" s="30"/>
    </row>
    <row r="67" spans="1:1" x14ac:dyDescent="0.25">
      <c r="A67" s="30"/>
    </row>
    <row r="68" spans="1:1" x14ac:dyDescent="0.25">
      <c r="A68" s="30"/>
    </row>
    <row r="69" spans="1:1" x14ac:dyDescent="0.25">
      <c r="A69" s="30"/>
    </row>
    <row r="70" spans="1:1" x14ac:dyDescent="0.25">
      <c r="A70" s="30"/>
    </row>
    <row r="71" spans="1:1" x14ac:dyDescent="0.25">
      <c r="A71" s="30"/>
    </row>
    <row r="72" spans="1:1" x14ac:dyDescent="0.25">
      <c r="A72" s="30"/>
    </row>
    <row r="73" spans="1:1" x14ac:dyDescent="0.25">
      <c r="A73" s="30"/>
    </row>
    <row r="74" spans="1:1" x14ac:dyDescent="0.25">
      <c r="A74" s="30"/>
    </row>
    <row r="75" spans="1:1" x14ac:dyDescent="0.25">
      <c r="A75" s="30"/>
    </row>
    <row r="76" spans="1:1" x14ac:dyDescent="0.25">
      <c r="A76" s="30"/>
    </row>
    <row r="77" spans="1:1" x14ac:dyDescent="0.25">
      <c r="A77" s="30"/>
    </row>
    <row r="78" spans="1:1" x14ac:dyDescent="0.25">
      <c r="A78" s="30"/>
    </row>
    <row r="79" spans="1:1" x14ac:dyDescent="0.25">
      <c r="A79" s="30"/>
    </row>
    <row r="80" spans="1:1" x14ac:dyDescent="0.25">
      <c r="A80" s="30"/>
    </row>
    <row r="81" spans="1:1" x14ac:dyDescent="0.25">
      <c r="A81" s="30"/>
    </row>
    <row r="82" spans="1:1" x14ac:dyDescent="0.25">
      <c r="A82" s="30"/>
    </row>
    <row r="83" spans="1:1" x14ac:dyDescent="0.25">
      <c r="A83" s="30"/>
    </row>
    <row r="84" spans="1:1" x14ac:dyDescent="0.25">
      <c r="A84" s="30"/>
    </row>
    <row r="85" spans="1:1" x14ac:dyDescent="0.25">
      <c r="A85" s="30"/>
    </row>
    <row r="86" spans="1:1" x14ac:dyDescent="0.25">
      <c r="A86" s="30"/>
    </row>
    <row r="87" spans="1:1" x14ac:dyDescent="0.25">
      <c r="A87" s="30"/>
    </row>
    <row r="88" spans="1:1" x14ac:dyDescent="0.25">
      <c r="A88" s="30"/>
    </row>
    <row r="89" spans="1:1" x14ac:dyDescent="0.25">
      <c r="A89" s="30"/>
    </row>
    <row r="90" spans="1:1" x14ac:dyDescent="0.25">
      <c r="A90" s="30"/>
    </row>
    <row r="91" spans="1:1" x14ac:dyDescent="0.25">
      <c r="A91" s="30"/>
    </row>
    <row r="92" spans="1:1" x14ac:dyDescent="0.25">
      <c r="A92" s="30"/>
    </row>
    <row r="93" spans="1:1" x14ac:dyDescent="0.25">
      <c r="A93" s="30"/>
    </row>
    <row r="94" spans="1:1" x14ac:dyDescent="0.25">
      <c r="A94" s="30"/>
    </row>
    <row r="95" spans="1:1" x14ac:dyDescent="0.25">
      <c r="A95" s="30"/>
    </row>
    <row r="96" spans="1:1" x14ac:dyDescent="0.25">
      <c r="A96" s="30"/>
    </row>
    <row r="97" spans="1:1" x14ac:dyDescent="0.25">
      <c r="A97" s="30"/>
    </row>
    <row r="98" spans="1:1" x14ac:dyDescent="0.25">
      <c r="A98" s="30"/>
    </row>
    <row r="99" spans="1:1" x14ac:dyDescent="0.25">
      <c r="A99" s="30"/>
    </row>
    <row r="100" spans="1:1" x14ac:dyDescent="0.25">
      <c r="A100" s="30"/>
    </row>
    <row r="101" spans="1:1" x14ac:dyDescent="0.25">
      <c r="A101" s="30"/>
    </row>
    <row r="102" spans="1:1" x14ac:dyDescent="0.25">
      <c r="A102" s="30"/>
    </row>
    <row r="103" spans="1:1" x14ac:dyDescent="0.25">
      <c r="A103" s="30"/>
    </row>
    <row r="104" spans="1:1" x14ac:dyDescent="0.25">
      <c r="A104" s="30"/>
    </row>
    <row r="105" spans="1:1" x14ac:dyDescent="0.25">
      <c r="A105" s="30"/>
    </row>
    <row r="106" spans="1:1" x14ac:dyDescent="0.25">
      <c r="A106" s="30"/>
    </row>
    <row r="107" spans="1:1" x14ac:dyDescent="0.25">
      <c r="A107" s="30"/>
    </row>
    <row r="108" spans="1:1" x14ac:dyDescent="0.25">
      <c r="A108" s="30"/>
    </row>
    <row r="109" spans="1:1" x14ac:dyDescent="0.25">
      <c r="A109" s="30"/>
    </row>
    <row r="110" spans="1:1" x14ac:dyDescent="0.25">
      <c r="A110" s="30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CDFD8-8C88-4381-86CB-5F38AD24D91F}">
  <dimension ref="A1:G88"/>
  <sheetViews>
    <sheetView zoomScale="80" zoomScaleNormal="80" workbookViewId="0">
      <selection sqref="A1:B88"/>
    </sheetView>
  </sheetViews>
  <sheetFormatPr defaultRowHeight="15" x14ac:dyDescent="0.25"/>
  <cols>
    <col min="2" max="2" width="17.5703125" bestFit="1" customWidth="1"/>
    <col min="4" max="4" width="14.140625" bestFit="1" customWidth="1"/>
  </cols>
  <sheetData>
    <row r="1" spans="1:7" ht="15.75" thickBot="1" x14ac:dyDescent="0.3">
      <c r="A1" s="23" t="s">
        <v>40</v>
      </c>
      <c r="B1" s="23" t="s">
        <v>42</v>
      </c>
      <c r="D1" s="3" t="s">
        <v>48</v>
      </c>
      <c r="E1" s="35"/>
      <c r="F1" s="35"/>
      <c r="G1" s="35"/>
    </row>
    <row r="2" spans="1:7" x14ac:dyDescent="0.25">
      <c r="A2" s="33">
        <v>43739</v>
      </c>
      <c r="B2" s="34">
        <v>8239.5</v>
      </c>
    </row>
    <row r="3" spans="1:7" x14ac:dyDescent="0.25">
      <c r="A3" s="33">
        <v>43770</v>
      </c>
      <c r="B3" s="34">
        <v>8288.1</v>
      </c>
    </row>
    <row r="4" spans="1:7" x14ac:dyDescent="0.25">
      <c r="A4" s="33">
        <v>43800</v>
      </c>
      <c r="B4" s="34">
        <v>9491.7999999999993</v>
      </c>
    </row>
    <row r="5" spans="1:7" x14ac:dyDescent="0.25">
      <c r="A5" s="33">
        <v>43831</v>
      </c>
      <c r="B5" s="34">
        <v>8403.6</v>
      </c>
    </row>
    <row r="6" spans="1:7" x14ac:dyDescent="0.25">
      <c r="A6" s="33">
        <v>43862</v>
      </c>
      <c r="B6" s="34">
        <v>7649.6</v>
      </c>
    </row>
    <row r="7" spans="1:7" x14ac:dyDescent="0.25">
      <c r="A7" s="33">
        <v>43891</v>
      </c>
      <c r="B7" s="34">
        <v>8285</v>
      </c>
    </row>
    <row r="8" spans="1:7" x14ac:dyDescent="0.25">
      <c r="A8" s="33">
        <v>43922</v>
      </c>
      <c r="B8" s="34">
        <v>8211.2999999999993</v>
      </c>
    </row>
    <row r="9" spans="1:7" x14ac:dyDescent="0.25">
      <c r="A9" s="33">
        <v>43952</v>
      </c>
      <c r="B9" s="34">
        <v>8059</v>
      </c>
    </row>
    <row r="10" spans="1:7" x14ac:dyDescent="0.25">
      <c r="A10" s="33">
        <v>43983</v>
      </c>
      <c r="B10" s="34">
        <v>7878.3</v>
      </c>
    </row>
    <row r="11" spans="1:7" x14ac:dyDescent="0.25">
      <c r="A11" s="33">
        <v>44013</v>
      </c>
      <c r="B11" s="34">
        <v>8315.2000000000007</v>
      </c>
    </row>
    <row r="12" spans="1:7" x14ac:dyDescent="0.25">
      <c r="A12" s="33">
        <v>44044</v>
      </c>
      <c r="B12" s="34">
        <v>8360.2999999999993</v>
      </c>
    </row>
    <row r="13" spans="1:7" x14ac:dyDescent="0.25">
      <c r="A13" s="33">
        <v>44075</v>
      </c>
      <c r="B13" s="34">
        <v>8274.2000000000007</v>
      </c>
    </row>
    <row r="14" spans="1:7" x14ac:dyDescent="0.25">
      <c r="A14" s="33">
        <v>44105</v>
      </c>
      <c r="B14" s="34">
        <v>8606.2999999999993</v>
      </c>
    </row>
    <row r="15" spans="1:7" x14ac:dyDescent="0.25">
      <c r="A15" s="33">
        <v>44136</v>
      </c>
      <c r="B15" s="34">
        <v>8569.9</v>
      </c>
    </row>
    <row r="16" spans="1:7" x14ac:dyDescent="0.25">
      <c r="A16" s="33">
        <v>44166</v>
      </c>
      <c r="B16" s="34">
        <v>9936</v>
      </c>
    </row>
    <row r="17" spans="1:2" x14ac:dyDescent="0.25">
      <c r="A17" s="33">
        <v>44197</v>
      </c>
      <c r="B17" s="34">
        <v>8534.7999999999993</v>
      </c>
    </row>
    <row r="18" spans="1:2" x14ac:dyDescent="0.25">
      <c r="A18" s="33">
        <v>44228</v>
      </c>
      <c r="B18" s="34">
        <v>8119.1</v>
      </c>
    </row>
    <row r="19" spans="1:2" x14ac:dyDescent="0.25">
      <c r="A19" s="33">
        <v>44256</v>
      </c>
      <c r="B19" s="34">
        <v>8736.6</v>
      </c>
    </row>
    <row r="20" spans="1:2" x14ac:dyDescent="0.25">
      <c r="A20" s="33">
        <v>44287</v>
      </c>
      <c r="B20" s="34">
        <v>8399.2000000000007</v>
      </c>
    </row>
    <row r="21" spans="1:2" x14ac:dyDescent="0.25">
      <c r="A21" s="33">
        <v>44317</v>
      </c>
      <c r="B21" s="34">
        <v>8450.7000000000007</v>
      </c>
    </row>
    <row r="22" spans="1:2" x14ac:dyDescent="0.25">
      <c r="A22" s="33">
        <v>44348</v>
      </c>
      <c r="B22" s="34">
        <v>8269.7000000000007</v>
      </c>
    </row>
    <row r="23" spans="1:2" x14ac:dyDescent="0.25">
      <c r="A23" s="33">
        <v>44378</v>
      </c>
      <c r="B23" s="34">
        <v>8500.4</v>
      </c>
    </row>
    <row r="24" spans="1:2" x14ac:dyDescent="0.25">
      <c r="A24" s="33">
        <v>44409</v>
      </c>
      <c r="B24" s="34">
        <v>8787.9</v>
      </c>
    </row>
    <row r="25" spans="1:2" x14ac:dyDescent="0.25">
      <c r="A25" s="33">
        <v>44440</v>
      </c>
      <c r="B25" s="34">
        <v>8582.7999999999993</v>
      </c>
    </row>
    <row r="26" spans="1:2" x14ac:dyDescent="0.25">
      <c r="A26" s="33">
        <v>44470</v>
      </c>
      <c r="B26" s="34">
        <v>8982</v>
      </c>
    </row>
    <row r="27" spans="1:2" x14ac:dyDescent="0.25">
      <c r="A27" s="33">
        <v>44501</v>
      </c>
      <c r="B27" s="34">
        <v>9048.5</v>
      </c>
    </row>
    <row r="28" spans="1:2" x14ac:dyDescent="0.25">
      <c r="A28" s="33">
        <v>44531</v>
      </c>
      <c r="B28" s="34">
        <v>10262.1</v>
      </c>
    </row>
    <row r="29" spans="1:2" x14ac:dyDescent="0.25">
      <c r="A29" s="33">
        <v>44562</v>
      </c>
      <c r="B29" s="34">
        <v>9067.6</v>
      </c>
    </row>
    <row r="30" spans="1:2" x14ac:dyDescent="0.25">
      <c r="A30" s="33">
        <v>44593</v>
      </c>
      <c r="B30" s="34">
        <v>8264.7999999999993</v>
      </c>
    </row>
    <row r="31" spans="1:2" x14ac:dyDescent="0.25">
      <c r="A31" s="33">
        <v>44621</v>
      </c>
      <c r="B31" s="34">
        <v>9272</v>
      </c>
    </row>
    <row r="32" spans="1:2" x14ac:dyDescent="0.25">
      <c r="A32" s="33">
        <v>44652</v>
      </c>
      <c r="B32" s="34">
        <v>8614.9</v>
      </c>
    </row>
    <row r="33" spans="1:2" x14ac:dyDescent="0.25">
      <c r="A33" s="33">
        <v>44682</v>
      </c>
      <c r="B33" s="34">
        <v>8876.5</v>
      </c>
    </row>
    <row r="34" spans="1:2" x14ac:dyDescent="0.25">
      <c r="A34" s="33">
        <v>44713</v>
      </c>
      <c r="B34" s="34">
        <v>8516.9</v>
      </c>
    </row>
    <row r="35" spans="1:2" x14ac:dyDescent="0.25">
      <c r="A35" s="33">
        <v>44743</v>
      </c>
      <c r="B35" s="34">
        <v>8855.7999999999993</v>
      </c>
    </row>
    <row r="36" spans="1:2" x14ac:dyDescent="0.25">
      <c r="A36" s="33">
        <v>44774</v>
      </c>
      <c r="B36" s="34">
        <v>9188.1</v>
      </c>
    </row>
    <row r="37" spans="1:2" x14ac:dyDescent="0.25">
      <c r="A37" s="33">
        <v>44805</v>
      </c>
      <c r="B37" s="34">
        <v>8839.1</v>
      </c>
    </row>
    <row r="38" spans="1:2" x14ac:dyDescent="0.25">
      <c r="A38" s="33">
        <v>44835</v>
      </c>
      <c r="B38" s="34">
        <v>9338.4</v>
      </c>
    </row>
    <row r="39" spans="1:2" x14ac:dyDescent="0.25">
      <c r="A39" s="33">
        <v>44866</v>
      </c>
      <c r="B39" s="34">
        <v>9345.9</v>
      </c>
    </row>
    <row r="40" spans="1:2" x14ac:dyDescent="0.25">
      <c r="A40" s="33">
        <v>44896</v>
      </c>
      <c r="B40" s="34">
        <v>10856.4</v>
      </c>
    </row>
    <row r="41" spans="1:2" x14ac:dyDescent="0.25">
      <c r="A41" s="33">
        <v>44927</v>
      </c>
      <c r="B41" s="34">
        <v>9701.6</v>
      </c>
    </row>
    <row r="42" spans="1:2" x14ac:dyDescent="0.25">
      <c r="A42" s="33">
        <v>44958</v>
      </c>
      <c r="B42" s="34">
        <v>8667.9</v>
      </c>
    </row>
    <row r="43" spans="1:2" x14ac:dyDescent="0.25">
      <c r="A43" s="33">
        <v>44986</v>
      </c>
      <c r="B43" s="34">
        <v>9524.6</v>
      </c>
    </row>
    <row r="44" spans="1:2" x14ac:dyDescent="0.25">
      <c r="A44" s="33">
        <v>45017</v>
      </c>
      <c r="B44" s="34">
        <v>9223.9</v>
      </c>
    </row>
    <row r="45" spans="1:2" x14ac:dyDescent="0.25">
      <c r="A45" s="33">
        <v>45047</v>
      </c>
      <c r="B45" s="34">
        <v>9386</v>
      </c>
    </row>
    <row r="46" spans="1:2" x14ac:dyDescent="0.25">
      <c r="A46" s="33">
        <v>45078</v>
      </c>
      <c r="B46" s="34">
        <v>8977.5</v>
      </c>
    </row>
    <row r="47" spans="1:2" x14ac:dyDescent="0.25">
      <c r="A47" s="33">
        <v>45108</v>
      </c>
      <c r="B47" s="34">
        <v>9393.2999999999993</v>
      </c>
    </row>
    <row r="48" spans="1:2" x14ac:dyDescent="0.25">
      <c r="A48" s="33">
        <v>45139</v>
      </c>
      <c r="B48" s="34">
        <v>9582.4</v>
      </c>
    </row>
    <row r="49" spans="1:2" x14ac:dyDescent="0.25">
      <c r="A49" s="33">
        <v>45170</v>
      </c>
      <c r="B49" s="34">
        <v>9353.7999999999993</v>
      </c>
    </row>
    <row r="50" spans="1:2" x14ac:dyDescent="0.25">
      <c r="A50" s="33">
        <v>45200</v>
      </c>
      <c r="B50" s="34">
        <v>9964.4</v>
      </c>
    </row>
    <row r="51" spans="1:2" x14ac:dyDescent="0.25">
      <c r="A51" s="33">
        <v>45231</v>
      </c>
      <c r="B51" s="34">
        <v>9911.1</v>
      </c>
    </row>
    <row r="52" spans="1:2" x14ac:dyDescent="0.25">
      <c r="A52" s="33">
        <v>45261</v>
      </c>
      <c r="B52" s="34">
        <v>11271.6</v>
      </c>
    </row>
    <row r="53" spans="1:2" x14ac:dyDescent="0.25">
      <c r="A53" s="33">
        <v>45292</v>
      </c>
      <c r="B53" s="34">
        <v>9955.4</v>
      </c>
    </row>
    <row r="54" spans="1:2" x14ac:dyDescent="0.25">
      <c r="A54" s="33">
        <v>45323</v>
      </c>
      <c r="B54" s="34">
        <v>9020</v>
      </c>
    </row>
    <row r="55" spans="1:2" x14ac:dyDescent="0.25">
      <c r="A55" s="33">
        <v>45352</v>
      </c>
      <c r="B55" s="34">
        <v>9926.5</v>
      </c>
    </row>
    <row r="56" spans="1:2" x14ac:dyDescent="0.25">
      <c r="A56" s="33">
        <v>45383</v>
      </c>
      <c r="B56" s="34">
        <v>9538</v>
      </c>
    </row>
    <row r="57" spans="1:2" x14ac:dyDescent="0.25">
      <c r="A57" s="33">
        <v>45413</v>
      </c>
      <c r="B57" s="34">
        <v>9707.1</v>
      </c>
    </row>
    <row r="58" spans="1:2" x14ac:dyDescent="0.25">
      <c r="A58" s="33">
        <v>45444</v>
      </c>
      <c r="B58" s="34">
        <v>9217.7999999999993</v>
      </c>
    </row>
    <row r="59" spans="1:2" x14ac:dyDescent="0.25">
      <c r="A59" s="33">
        <v>45474</v>
      </c>
      <c r="B59" s="34">
        <v>9718</v>
      </c>
    </row>
    <row r="60" spans="1:2" x14ac:dyDescent="0.25">
      <c r="A60" s="33">
        <v>45505</v>
      </c>
      <c r="B60" s="34">
        <v>9834.7999999999993</v>
      </c>
    </row>
    <row r="61" spans="1:2" x14ac:dyDescent="0.25">
      <c r="A61" s="33">
        <v>45536</v>
      </c>
      <c r="B61" s="34">
        <v>9645.7999999999993</v>
      </c>
    </row>
    <row r="62" spans="1:2" x14ac:dyDescent="0.25">
      <c r="A62" s="33">
        <v>45566</v>
      </c>
      <c r="B62" s="34">
        <v>10319.200000000001</v>
      </c>
    </row>
    <row r="63" spans="1:2" x14ac:dyDescent="0.25">
      <c r="A63" s="33">
        <v>45597</v>
      </c>
      <c r="B63" s="34">
        <v>10128.5</v>
      </c>
    </row>
    <row r="64" spans="1:2" x14ac:dyDescent="0.25">
      <c r="A64" s="33">
        <v>45627</v>
      </c>
      <c r="B64" s="34">
        <v>11731.2</v>
      </c>
    </row>
    <row r="65" spans="1:2" x14ac:dyDescent="0.25">
      <c r="A65" s="33">
        <v>45658</v>
      </c>
      <c r="B65" s="34">
        <v>10244.9</v>
      </c>
    </row>
    <row r="66" spans="1:2" x14ac:dyDescent="0.25">
      <c r="A66" s="33">
        <v>45689</v>
      </c>
      <c r="B66" s="34">
        <v>9556.9</v>
      </c>
    </row>
    <row r="67" spans="1:2" x14ac:dyDescent="0.25">
      <c r="A67" s="33">
        <v>45717</v>
      </c>
      <c r="B67" s="34">
        <v>10354</v>
      </c>
    </row>
    <row r="68" spans="1:2" x14ac:dyDescent="0.25">
      <c r="A68" s="33">
        <v>45748</v>
      </c>
      <c r="B68" s="34">
        <v>9727.9</v>
      </c>
    </row>
    <row r="69" spans="1:2" x14ac:dyDescent="0.25">
      <c r="A69" s="33">
        <v>45778</v>
      </c>
      <c r="B69" s="34">
        <v>9815.2000000000007</v>
      </c>
    </row>
    <row r="70" spans="1:2" x14ac:dyDescent="0.25">
      <c r="A70" s="33">
        <v>45809</v>
      </c>
      <c r="B70" s="34">
        <v>9516.5</v>
      </c>
    </row>
    <row r="71" spans="1:2" x14ac:dyDescent="0.25">
      <c r="A71" s="33">
        <v>45839</v>
      </c>
      <c r="B71" s="34">
        <v>9928.5</v>
      </c>
    </row>
    <row r="72" spans="1:2" x14ac:dyDescent="0.25">
      <c r="A72" s="33">
        <v>45870</v>
      </c>
      <c r="B72" s="34">
        <v>10041.9</v>
      </c>
    </row>
    <row r="73" spans="1:2" x14ac:dyDescent="0.25">
      <c r="A73" s="33">
        <v>45901</v>
      </c>
      <c r="B73" s="34">
        <v>10005.700000000001</v>
      </c>
    </row>
    <row r="74" spans="1:2" x14ac:dyDescent="0.25">
      <c r="A74" s="33">
        <v>45931</v>
      </c>
      <c r="B74" s="34">
        <v>10482.6</v>
      </c>
    </row>
    <row r="75" spans="1:2" x14ac:dyDescent="0.25">
      <c r="A75" s="33">
        <v>45962</v>
      </c>
      <c r="B75" s="34">
        <v>10435.700000000001</v>
      </c>
    </row>
    <row r="76" spans="1:2" x14ac:dyDescent="0.25">
      <c r="A76" s="33">
        <v>45992</v>
      </c>
      <c r="B76" s="34">
        <v>12230.1</v>
      </c>
    </row>
    <row r="77" spans="1:2" x14ac:dyDescent="0.25">
      <c r="A77" s="33">
        <v>46023</v>
      </c>
    </row>
    <row r="78" spans="1:2" x14ac:dyDescent="0.25">
      <c r="A78" s="33">
        <v>46054</v>
      </c>
    </row>
    <row r="79" spans="1:2" x14ac:dyDescent="0.25">
      <c r="A79" s="33">
        <v>46082</v>
      </c>
    </row>
    <row r="80" spans="1:2" x14ac:dyDescent="0.25">
      <c r="A80" s="33">
        <v>46113</v>
      </c>
    </row>
    <row r="81" spans="1:1" x14ac:dyDescent="0.25">
      <c r="A81" s="33">
        <v>46143</v>
      </c>
    </row>
    <row r="82" spans="1:1" x14ac:dyDescent="0.25">
      <c r="A82" s="33">
        <v>46174</v>
      </c>
    </row>
    <row r="83" spans="1:1" x14ac:dyDescent="0.25">
      <c r="A83" s="33">
        <v>46204</v>
      </c>
    </row>
    <row r="84" spans="1:1" x14ac:dyDescent="0.25">
      <c r="A84" s="33">
        <v>46235</v>
      </c>
    </row>
    <row r="85" spans="1:1" x14ac:dyDescent="0.25">
      <c r="A85" s="33">
        <v>46266</v>
      </c>
    </row>
    <row r="86" spans="1:1" x14ac:dyDescent="0.25">
      <c r="A86" s="33">
        <v>46296</v>
      </c>
    </row>
    <row r="87" spans="1:1" x14ac:dyDescent="0.25">
      <c r="A87" s="33">
        <v>46327</v>
      </c>
    </row>
    <row r="88" spans="1:1" x14ac:dyDescent="0.25">
      <c r="A88" s="33">
        <v>46357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c514c1-a717-4087-be06-d40d2070ad52}" enabled="0" method="" siteId="{82c514c1-a717-4087-be06-d40d2070ad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Cities</vt:lpstr>
      <vt:lpstr>Agents</vt:lpstr>
      <vt:lpstr>Burger Sales</vt:lpstr>
      <vt:lpstr>Grocery Sales</vt:lpstr>
      <vt:lpstr>MQD</vt:lpstr>
      <vt:lpstr>Food Retail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 Karunaratne</dc:creator>
  <cp:lastModifiedBy>Bryan Johns</cp:lastModifiedBy>
  <dcterms:created xsi:type="dcterms:W3CDTF">2025-04-16T05:55:57Z</dcterms:created>
  <dcterms:modified xsi:type="dcterms:W3CDTF">2025-12-21T06:39:44Z</dcterms:modified>
</cp:coreProperties>
</file>