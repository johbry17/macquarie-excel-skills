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1\"/>
    </mc:Choice>
  </mc:AlternateContent>
  <xr:revisionPtr revIDLastSave="0" documentId="13_ncr:1_{6E8CCDF3-530B-47C1-90D4-304D79438FCC}" xr6:coauthVersionLast="47" xr6:coauthVersionMax="47" xr10:uidLastSave="{00000000-0000-0000-0000-000000000000}"/>
  <bookViews>
    <workbookView xWindow="585" yWindow="3060" windowWidth="21600" windowHeight="11835" xr2:uid="{4DDE2ABF-5F19-4108-83F6-E210DF3C0777}"/>
  </bookViews>
  <sheets>
    <sheet name="Sales" sheetId="3" r:id="rId1"/>
    <sheet name="Holt's Exponential Smoothing" sheetId="6" r:id="rId2"/>
    <sheet name="Tourists" sheetId="5" r:id="rId3"/>
  </sheets>
  <definedNames>
    <definedName name="solver_adj" localSheetId="1" hidden="1">'Holt''s Exponential Smoothing'!$J$1:$J$2</definedName>
    <definedName name="solver_adj" localSheetId="2" hidden="1">Tourists!$I$1:$I$3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'Holt''s Exponential Smoothing'!$J$1</definedName>
    <definedName name="solver_lhs1" localSheetId="2" hidden="1">Tourists!$I$1</definedName>
    <definedName name="solver_lhs2" localSheetId="1" hidden="1">'Holt''s Exponential Smoothing'!$J$1</definedName>
    <definedName name="solver_lhs2" localSheetId="2" hidden="1">Tourists!$I$1</definedName>
    <definedName name="solver_lhs3" localSheetId="1" hidden="1">'Holt''s Exponential Smoothing'!$J$2</definedName>
    <definedName name="solver_lhs3" localSheetId="2" hidden="1">Tourists!$I$2</definedName>
    <definedName name="solver_lhs4" localSheetId="1" hidden="1">'Holt''s Exponential Smoothing'!$J$2</definedName>
    <definedName name="solver_lhs4" localSheetId="2" hidden="1">Tourists!$I$2</definedName>
    <definedName name="solver_lhs5" localSheetId="2" hidden="1">Tourists!$I$3</definedName>
    <definedName name="solver_lhs6" localSheetId="2" hidden="1">Tourists!$I$3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4</definedName>
    <definedName name="solver_num" localSheetId="2" hidden="1">6</definedName>
    <definedName name="solver_nwt" localSheetId="1" hidden="1">1</definedName>
    <definedName name="solver_nwt" localSheetId="2" hidden="1">1</definedName>
    <definedName name="solver_opt" localSheetId="1" hidden="1">'Holt''s Exponential Smoothing'!$P$40</definedName>
    <definedName name="solver_opt" localSheetId="2" hidden="1">Tourists!$L$54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1</definedName>
    <definedName name="solver_rel1" localSheetId="2" hidden="1">1</definedName>
    <definedName name="solver_rel2" localSheetId="1" hidden="1">3</definedName>
    <definedName name="solver_rel2" localSheetId="2" hidden="1">3</definedName>
    <definedName name="solver_rel3" localSheetId="1" hidden="1">1</definedName>
    <definedName name="solver_rel3" localSheetId="2" hidden="1">1</definedName>
    <definedName name="solver_rel4" localSheetId="1" hidden="1">3</definedName>
    <definedName name="solver_rel4" localSheetId="2" hidden="1">3</definedName>
    <definedName name="solver_rel5" localSheetId="2" hidden="1">1</definedName>
    <definedName name="solver_rel6" localSheetId="2" hidden="1">3</definedName>
    <definedName name="solver_rhs1" localSheetId="1" hidden="1">1</definedName>
    <definedName name="solver_rhs1" localSheetId="2" hidden="1">1</definedName>
    <definedName name="solver_rhs2" localSheetId="1" hidden="1">0</definedName>
    <definedName name="solver_rhs2" localSheetId="2" hidden="1">0</definedName>
    <definedName name="solver_rhs3" localSheetId="1" hidden="1">1</definedName>
    <definedName name="solver_rhs3" localSheetId="2" hidden="1">1</definedName>
    <definedName name="solver_rhs4" localSheetId="1" hidden="1">0</definedName>
    <definedName name="solver_rhs4" localSheetId="2" hidden="1">0</definedName>
    <definedName name="solver_rhs5" localSheetId="2" hidden="1">1</definedName>
    <definedName name="solver_rhs6" localSheetId="2" hidden="1">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5" l="1"/>
  <c r="D13" i="5"/>
  <c r="F3" i="6"/>
  <c r="D3" i="6"/>
  <c r="E3" i="6" s="1"/>
  <c r="E2" i="6"/>
  <c r="P15" i="5"/>
  <c r="Q15" i="5" s="1"/>
  <c r="Q14" i="5"/>
  <c r="P14" i="5"/>
  <c r="P13" i="5"/>
  <c r="Q13" i="5" s="1"/>
  <c r="Q12" i="5"/>
  <c r="P12" i="5"/>
  <c r="P11" i="5"/>
  <c r="Q11" i="5" s="1"/>
  <c r="P10" i="5"/>
  <c r="Q10" i="5" s="1"/>
  <c r="P9" i="5"/>
  <c r="Q9" i="5" s="1"/>
  <c r="P8" i="5"/>
  <c r="Q8" i="5" s="1"/>
  <c r="P7" i="5"/>
  <c r="Q7" i="5" s="1"/>
  <c r="Q6" i="5"/>
  <c r="P6" i="5"/>
  <c r="Q5" i="5"/>
  <c r="P5" i="5"/>
  <c r="Q4" i="5"/>
  <c r="P4" i="5"/>
  <c r="F12" i="5" l="1"/>
  <c r="F10" i="5"/>
  <c r="F9" i="5"/>
  <c r="F8" i="5"/>
  <c r="F7" i="5"/>
  <c r="F5" i="5"/>
  <c r="F4" i="5"/>
  <c r="F3" i="5"/>
  <c r="F2" i="5"/>
  <c r="F11" i="5"/>
  <c r="F6" i="5"/>
  <c r="G14" i="5"/>
  <c r="J15" i="5" s="1"/>
  <c r="K15" i="5" s="1"/>
  <c r="D14" i="5"/>
  <c r="F4" i="6"/>
  <c r="N4" i="6" s="1"/>
  <c r="D4" i="6"/>
  <c r="Q17" i="5"/>
  <c r="L15" i="5" l="1"/>
  <c r="F14" i="5"/>
  <c r="E14" i="5"/>
  <c r="O4" i="6"/>
  <c r="P4" i="6"/>
  <c r="E4" i="6"/>
  <c r="G15" i="5" l="1"/>
  <c r="J16" i="5" s="1"/>
  <c r="K16" i="5" s="1"/>
  <c r="L16" i="5" s="1"/>
  <c r="D15" i="5"/>
  <c r="D5" i="6"/>
  <c r="E5" i="6" s="1"/>
  <c r="F5" i="6"/>
  <c r="N5" i="6" s="1"/>
  <c r="F15" i="5" l="1"/>
  <c r="E15" i="5"/>
  <c r="O5" i="6"/>
  <c r="P5" i="6"/>
  <c r="D6" i="6"/>
  <c r="F6" i="6"/>
  <c r="N6" i="6" s="1"/>
  <c r="G16" i="5" l="1"/>
  <c r="J17" i="5" s="1"/>
  <c r="K17" i="5" s="1"/>
  <c r="L17" i="5" s="1"/>
  <c r="D16" i="5"/>
  <c r="E6" i="6"/>
  <c r="P6" i="6"/>
  <c r="O6" i="6"/>
  <c r="E16" i="5" l="1"/>
  <c r="F16" i="5"/>
  <c r="F7" i="6"/>
  <c r="N7" i="6" s="1"/>
  <c r="D7" i="6"/>
  <c r="G17" i="5" l="1"/>
  <c r="J18" i="5" s="1"/>
  <c r="K18" i="5" s="1"/>
  <c r="L18" i="5" s="1"/>
  <c r="D17" i="5"/>
  <c r="P7" i="6"/>
  <c r="O7" i="6"/>
  <c r="E7" i="6"/>
  <c r="E17" i="5" l="1"/>
  <c r="F17" i="5"/>
  <c r="D8" i="6"/>
  <c r="E8" i="6" s="1"/>
  <c r="F8" i="6"/>
  <c r="N8" i="6" s="1"/>
  <c r="G18" i="5" l="1"/>
  <c r="J19" i="5" s="1"/>
  <c r="K19" i="5" s="1"/>
  <c r="L19" i="5" s="1"/>
  <c r="D18" i="5"/>
  <c r="O8" i="6"/>
  <c r="P8" i="6"/>
  <c r="D9" i="6"/>
  <c r="E9" i="6" s="1"/>
  <c r="F9" i="6"/>
  <c r="N9" i="6" s="1"/>
  <c r="F18" i="5" l="1"/>
  <c r="E18" i="5"/>
  <c r="O9" i="6"/>
  <c r="P9" i="6"/>
  <c r="D10" i="6"/>
  <c r="E10" i="6" s="1"/>
  <c r="F10" i="6"/>
  <c r="N10" i="6" s="1"/>
  <c r="D19" i="5" l="1"/>
  <c r="F19" i="5" s="1"/>
  <c r="G19" i="5"/>
  <c r="J20" i="5" s="1"/>
  <c r="K20" i="5" s="1"/>
  <c r="L20" i="5" s="1"/>
  <c r="F11" i="6"/>
  <c r="N11" i="6" s="1"/>
  <c r="D11" i="6"/>
  <c r="P10" i="6"/>
  <c r="O10" i="6"/>
  <c r="E19" i="5" l="1"/>
  <c r="O11" i="6"/>
  <c r="P11" i="6"/>
  <c r="E11" i="6"/>
  <c r="D20" i="5" l="1"/>
  <c r="G20" i="5"/>
  <c r="J21" i="5" s="1"/>
  <c r="K21" i="5" s="1"/>
  <c r="L21" i="5" s="1"/>
  <c r="D12" i="6"/>
  <c r="F12" i="6"/>
  <c r="N12" i="6" s="1"/>
  <c r="E20" i="5" l="1"/>
  <c r="F20" i="5"/>
  <c r="O12" i="6"/>
  <c r="P12" i="6"/>
  <c r="E12" i="6"/>
  <c r="D21" i="5" l="1"/>
  <c r="G21" i="5"/>
  <c r="J22" i="5" s="1"/>
  <c r="K22" i="5" s="1"/>
  <c r="L22" i="5" s="1"/>
  <c r="F13" i="6"/>
  <c r="N13" i="6" s="1"/>
  <c r="D13" i="6"/>
  <c r="E21" i="5" l="1"/>
  <c r="F21" i="5"/>
  <c r="P13" i="6"/>
  <c r="O13" i="6"/>
  <c r="E13" i="6"/>
  <c r="D22" i="5" l="1"/>
  <c r="G22" i="5"/>
  <c r="J23" i="5" s="1"/>
  <c r="K23" i="5" s="1"/>
  <c r="L23" i="5" s="1"/>
  <c r="F14" i="6"/>
  <c r="N14" i="6" s="1"/>
  <c r="D14" i="6"/>
  <c r="E14" i="6" s="1"/>
  <c r="F15" i="6" s="1"/>
  <c r="N15" i="6" s="1"/>
  <c r="E22" i="5" l="1"/>
  <c r="F22" i="5"/>
  <c r="O14" i="6"/>
  <c r="P14" i="6"/>
  <c r="D15" i="6"/>
  <c r="O15" i="6"/>
  <c r="P15" i="6"/>
  <c r="D23" i="5" l="1"/>
  <c r="G23" i="5"/>
  <c r="J24" i="5" s="1"/>
  <c r="K24" i="5" s="1"/>
  <c r="L24" i="5" s="1"/>
  <c r="E15" i="6"/>
  <c r="F23" i="5" l="1"/>
  <c r="E23" i="5"/>
  <c r="F16" i="6"/>
  <c r="N16" i="6" s="1"/>
  <c r="D16" i="6"/>
  <c r="G24" i="5" l="1"/>
  <c r="J25" i="5" s="1"/>
  <c r="K25" i="5" s="1"/>
  <c r="L25" i="5" s="1"/>
  <c r="D24" i="5"/>
  <c r="P16" i="6"/>
  <c r="O16" i="6"/>
  <c r="E16" i="6"/>
  <c r="F24" i="5" l="1"/>
  <c r="E24" i="5"/>
  <c r="D17" i="6"/>
  <c r="F17" i="6"/>
  <c r="N17" i="6" s="1"/>
  <c r="D25" i="5" l="1"/>
  <c r="G25" i="5"/>
  <c r="J26" i="5" s="1"/>
  <c r="K26" i="5" s="1"/>
  <c r="L26" i="5" s="1"/>
  <c r="E17" i="6"/>
  <c r="O17" i="6"/>
  <c r="P17" i="6"/>
  <c r="F25" i="5" l="1"/>
  <c r="E25" i="5"/>
  <c r="D18" i="6"/>
  <c r="E18" i="6" s="1"/>
  <c r="F18" i="6"/>
  <c r="N18" i="6" s="1"/>
  <c r="D26" i="5" l="1"/>
  <c r="G26" i="5"/>
  <c r="J27" i="5" s="1"/>
  <c r="K27" i="5" s="1"/>
  <c r="L27" i="5" s="1"/>
  <c r="P18" i="6"/>
  <c r="O18" i="6"/>
  <c r="F19" i="6"/>
  <c r="N19" i="6" s="1"/>
  <c r="D19" i="6"/>
  <c r="E19" i="6" s="1"/>
  <c r="F26" i="5" l="1"/>
  <c r="E26" i="5"/>
  <c r="O19" i="6"/>
  <c r="P19" i="6"/>
  <c r="F20" i="6"/>
  <c r="N20" i="6" s="1"/>
  <c r="D20" i="6"/>
  <c r="E20" i="6" s="1"/>
  <c r="D27" i="5" l="1"/>
  <c r="G27" i="5"/>
  <c r="J28" i="5" s="1"/>
  <c r="K28" i="5" s="1"/>
  <c r="L28" i="5" s="1"/>
  <c r="P20" i="6"/>
  <c r="O20" i="6"/>
  <c r="D21" i="6"/>
  <c r="F21" i="6"/>
  <c r="N21" i="6" s="1"/>
  <c r="E27" i="5" l="1"/>
  <c r="F27" i="5"/>
  <c r="P21" i="6"/>
  <c r="O21" i="6"/>
  <c r="E21" i="6"/>
  <c r="D28" i="5" l="1"/>
  <c r="G28" i="5"/>
  <c r="J29" i="5" s="1"/>
  <c r="K29" i="5" s="1"/>
  <c r="L29" i="5" s="1"/>
  <c r="D22" i="6"/>
  <c r="F22" i="6"/>
  <c r="N22" i="6" s="1"/>
  <c r="E28" i="5" l="1"/>
  <c r="F28" i="5"/>
  <c r="E22" i="6"/>
  <c r="O22" i="6"/>
  <c r="P22" i="6"/>
  <c r="D29" i="5" l="1"/>
  <c r="G29" i="5"/>
  <c r="J30" i="5" s="1"/>
  <c r="K30" i="5" s="1"/>
  <c r="L30" i="5" s="1"/>
  <c r="D23" i="6"/>
  <c r="F23" i="6"/>
  <c r="N23" i="6" s="1"/>
  <c r="E29" i="5" l="1"/>
  <c r="F29" i="5"/>
  <c r="E23" i="6"/>
  <c r="O23" i="6"/>
  <c r="P23" i="6"/>
  <c r="G30" i="5" l="1"/>
  <c r="J31" i="5" s="1"/>
  <c r="K31" i="5" s="1"/>
  <c r="L31" i="5" s="1"/>
  <c r="D30" i="5"/>
  <c r="D24" i="6"/>
  <c r="E24" i="6" s="1"/>
  <c r="F24" i="6"/>
  <c r="N24" i="6" s="1"/>
  <c r="E30" i="5" l="1"/>
  <c r="F30" i="5"/>
  <c r="P24" i="6"/>
  <c r="O24" i="6"/>
  <c r="D25" i="6"/>
  <c r="E25" i="6" s="1"/>
  <c r="F25" i="6"/>
  <c r="N25" i="6" s="1"/>
  <c r="G31" i="5" l="1"/>
  <c r="J32" i="5" s="1"/>
  <c r="K32" i="5" s="1"/>
  <c r="L32" i="5" s="1"/>
  <c r="D31" i="5"/>
  <c r="P25" i="6"/>
  <c r="O25" i="6"/>
  <c r="F26" i="6"/>
  <c r="N26" i="6" s="1"/>
  <c r="D26" i="6"/>
  <c r="E31" i="5" l="1"/>
  <c r="F31" i="5"/>
  <c r="P26" i="6"/>
  <c r="O26" i="6"/>
  <c r="E26" i="6"/>
  <c r="G32" i="5" l="1"/>
  <c r="J33" i="5" s="1"/>
  <c r="K33" i="5" s="1"/>
  <c r="L33" i="5" s="1"/>
  <c r="D32" i="5"/>
  <c r="D27" i="6"/>
  <c r="F27" i="6"/>
  <c r="N27" i="6" s="1"/>
  <c r="F32" i="5" l="1"/>
  <c r="E32" i="5"/>
  <c r="E27" i="6"/>
  <c r="O27" i="6"/>
  <c r="P27" i="6"/>
  <c r="G33" i="5" l="1"/>
  <c r="J34" i="5" s="1"/>
  <c r="K34" i="5" s="1"/>
  <c r="L34" i="5" s="1"/>
  <c r="D33" i="5"/>
  <c r="D28" i="6"/>
  <c r="F28" i="6"/>
  <c r="N28" i="6" s="1"/>
  <c r="E33" i="5" l="1"/>
  <c r="F33" i="5"/>
  <c r="E28" i="6"/>
  <c r="O28" i="6"/>
  <c r="P28" i="6"/>
  <c r="D34" i="5" l="1"/>
  <c r="G34" i="5"/>
  <c r="J35" i="5" s="1"/>
  <c r="K35" i="5" s="1"/>
  <c r="L35" i="5" s="1"/>
  <c r="D29" i="6"/>
  <c r="E29" i="6" s="1"/>
  <c r="F29" i="6"/>
  <c r="N29" i="6" s="1"/>
  <c r="F34" i="5" l="1"/>
  <c r="E34" i="5"/>
  <c r="O29" i="6"/>
  <c r="P29" i="6"/>
  <c r="F30" i="6"/>
  <c r="N30" i="6" s="1"/>
  <c r="D30" i="6"/>
  <c r="D35" i="5" l="1"/>
  <c r="G35" i="5"/>
  <c r="J36" i="5" s="1"/>
  <c r="K36" i="5" s="1"/>
  <c r="L36" i="5" s="1"/>
  <c r="O30" i="6"/>
  <c r="P30" i="6"/>
  <c r="E30" i="6"/>
  <c r="F35" i="5" l="1"/>
  <c r="E35" i="5"/>
  <c r="D31" i="6"/>
  <c r="E31" i="6" s="1"/>
  <c r="F31" i="6"/>
  <c r="N31" i="6" s="1"/>
  <c r="D36" i="5" l="1"/>
  <c r="G36" i="5"/>
  <c r="J37" i="5" s="1"/>
  <c r="K37" i="5" s="1"/>
  <c r="L37" i="5" s="1"/>
  <c r="P31" i="6"/>
  <c r="O31" i="6"/>
  <c r="D32" i="6"/>
  <c r="F32" i="6"/>
  <c r="N32" i="6" s="1"/>
  <c r="F36" i="5" l="1"/>
  <c r="E36" i="5"/>
  <c r="E32" i="6"/>
  <c r="O32" i="6"/>
  <c r="P32" i="6"/>
  <c r="G37" i="5" l="1"/>
  <c r="J38" i="5" s="1"/>
  <c r="K38" i="5" s="1"/>
  <c r="L38" i="5" s="1"/>
  <c r="D37" i="5"/>
  <c r="D33" i="6"/>
  <c r="E33" i="6" s="1"/>
  <c r="F33" i="6"/>
  <c r="N33" i="6" s="1"/>
  <c r="E37" i="5" l="1"/>
  <c r="F37" i="5"/>
  <c r="P33" i="6"/>
  <c r="O33" i="6"/>
  <c r="F34" i="6"/>
  <c r="N34" i="6" s="1"/>
  <c r="D34" i="6"/>
  <c r="D38" i="5" l="1"/>
  <c r="G38" i="5"/>
  <c r="J39" i="5" s="1"/>
  <c r="K39" i="5" s="1"/>
  <c r="L39" i="5" s="1"/>
  <c r="P34" i="6"/>
  <c r="O34" i="6"/>
  <c r="E34" i="6"/>
  <c r="E38" i="5" l="1"/>
  <c r="F38" i="5"/>
  <c r="D35" i="6"/>
  <c r="E35" i="6" s="1"/>
  <c r="F35" i="6"/>
  <c r="N35" i="6" s="1"/>
  <c r="G39" i="5" l="1"/>
  <c r="J40" i="5" s="1"/>
  <c r="K40" i="5" s="1"/>
  <c r="L40" i="5" s="1"/>
  <c r="D39" i="5"/>
  <c r="P35" i="6"/>
  <c r="O35" i="6"/>
  <c r="F36" i="6"/>
  <c r="N36" i="6" s="1"/>
  <c r="D36" i="6"/>
  <c r="E39" i="5" l="1"/>
  <c r="F39" i="5"/>
  <c r="O36" i="6"/>
  <c r="P36" i="6"/>
  <c r="E36" i="6"/>
  <c r="D40" i="5" l="1"/>
  <c r="G40" i="5"/>
  <c r="J41" i="5" s="1"/>
  <c r="K41" i="5" s="1"/>
  <c r="L41" i="5" s="1"/>
  <c r="F37" i="6"/>
  <c r="N37" i="6" s="1"/>
  <c r="D37" i="6"/>
  <c r="F40" i="5" l="1"/>
  <c r="E40" i="5"/>
  <c r="P37" i="6"/>
  <c r="O37" i="6"/>
  <c r="E37" i="6"/>
  <c r="D41" i="5" l="1"/>
  <c r="G41" i="5"/>
  <c r="J42" i="5" s="1"/>
  <c r="K42" i="5" s="1"/>
  <c r="L42" i="5" s="1"/>
  <c r="D38" i="6"/>
  <c r="F38" i="6"/>
  <c r="N38" i="6" s="1"/>
  <c r="E41" i="5" l="1"/>
  <c r="F41" i="5"/>
  <c r="E38" i="6"/>
  <c r="O38" i="6"/>
  <c r="O40" i="6" s="1"/>
  <c r="P38" i="6"/>
  <c r="P40" i="6" s="1"/>
  <c r="D42" i="5" l="1"/>
  <c r="G42" i="5"/>
  <c r="J43" i="5" s="1"/>
  <c r="K43" i="5" s="1"/>
  <c r="L43" i="5" s="1"/>
  <c r="F39" i="6"/>
  <c r="F40" i="6"/>
  <c r="E42" i="5" l="1"/>
  <c r="F42" i="5"/>
  <c r="D43" i="5" l="1"/>
  <c r="G43" i="5"/>
  <c r="J44" i="5" s="1"/>
  <c r="K44" i="5" s="1"/>
  <c r="L44" i="5" s="1"/>
  <c r="E43" i="5" l="1"/>
  <c r="F43" i="5"/>
  <c r="D44" i="5" l="1"/>
  <c r="G44" i="5"/>
  <c r="J45" i="5" s="1"/>
  <c r="K45" i="5" s="1"/>
  <c r="L45" i="5" s="1"/>
  <c r="E44" i="5" l="1"/>
  <c r="F44" i="5"/>
  <c r="G45" i="5" l="1"/>
  <c r="J46" i="5" s="1"/>
  <c r="K46" i="5" s="1"/>
  <c r="L46" i="5" s="1"/>
  <c r="D45" i="5"/>
  <c r="E45" i="5" l="1"/>
  <c r="F45" i="5"/>
  <c r="D46" i="5" l="1"/>
  <c r="G46" i="5"/>
  <c r="J47" i="5" s="1"/>
  <c r="K47" i="5" s="1"/>
  <c r="L47" i="5" s="1"/>
  <c r="E46" i="5" l="1"/>
  <c r="F46" i="5"/>
  <c r="D47" i="5" l="1"/>
  <c r="G47" i="5"/>
  <c r="J48" i="5" s="1"/>
  <c r="K48" i="5" s="1"/>
  <c r="L48" i="5" s="1"/>
  <c r="F47" i="5" l="1"/>
  <c r="E47" i="5"/>
  <c r="D48" i="5" l="1"/>
  <c r="G48" i="5"/>
  <c r="J49" i="5" s="1"/>
  <c r="K49" i="5" s="1"/>
  <c r="L49" i="5" s="1"/>
  <c r="F48" i="5" l="1"/>
  <c r="E48" i="5"/>
  <c r="G49" i="5" l="1"/>
  <c r="J50" i="5" s="1"/>
  <c r="K50" i="5" s="1"/>
  <c r="D49" i="5"/>
  <c r="L50" i="5" l="1"/>
  <c r="L54" i="5" s="1"/>
  <c r="L57" i="5" s="1"/>
  <c r="K54" i="5"/>
  <c r="E49" i="5"/>
  <c r="F49" i="5"/>
  <c r="G54" i="5" l="1"/>
  <c r="G53" i="5"/>
  <c r="G60" i="5"/>
  <c r="G52" i="5"/>
  <c r="G50" i="5"/>
  <c r="G55" i="5"/>
  <c r="G59" i="5"/>
  <c r="G51" i="5"/>
  <c r="G58" i="5"/>
  <c r="G57" i="5"/>
  <c r="G56" i="5"/>
  <c r="G61" i="5"/>
</calcChain>
</file>

<file path=xl/sharedStrings.xml><?xml version="1.0" encoding="utf-8"?>
<sst xmlns="http://schemas.openxmlformats.org/spreadsheetml/2006/main" count="38" uniqueCount="27">
  <si>
    <t>Quarter</t>
  </si>
  <si>
    <t>Error</t>
  </si>
  <si>
    <t>MAE</t>
  </si>
  <si>
    <t>MSE</t>
  </si>
  <si>
    <t>Time (t)</t>
  </si>
  <si>
    <t>Sales  ($ millions)</t>
  </si>
  <si>
    <t>Time</t>
  </si>
  <si>
    <t>Date</t>
  </si>
  <si>
    <t>Arrivals</t>
  </si>
  <si>
    <t>Level</t>
  </si>
  <si>
    <t>Trend</t>
  </si>
  <si>
    <t>Seasonal</t>
  </si>
  <si>
    <t>Forecast</t>
  </si>
  <si>
    <t>alpha</t>
  </si>
  <si>
    <t>ABS_Error</t>
  </si>
  <si>
    <t>SQ_Error</t>
  </si>
  <si>
    <t>beta</t>
  </si>
  <si>
    <t>initial trend calculation</t>
  </si>
  <si>
    <t>gamma</t>
  </si>
  <si>
    <t>year 1</t>
  </si>
  <si>
    <t>year 2</t>
  </si>
  <si>
    <t>y2-y1</t>
  </si>
  <si>
    <t>(y2-y1)/12</t>
  </si>
  <si>
    <t>initial trend</t>
  </si>
  <si>
    <t>RMSE</t>
  </si>
  <si>
    <t>Abs Error</t>
  </si>
  <si>
    <t>Sq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</si>
</sst>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0.0"/>
    <numFmt numFmtId="166" formatCode="0.000"/>
    <numFmt numFmtId="167" formatCode="0;\-0;0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theme="1"/>
      <name val="Arial"/>
      <family val="2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5" fontId="0" fillId="0" borderId="0" xfId="0" applyNumberFormat="1"/>
    <xf numFmtId="164" fontId="0" fillId="0" borderId="0" xfId="0" applyNumberFormat="1" applyAlignment="1">
      <alignment horizontal="left"/>
    </xf>
    <xf numFmtId="165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/>
    <xf numFmtId="164" fontId="3" fillId="0" borderId="0" xfId="0" applyNumberFormat="1" applyFont="1" applyAlignment="1">
      <alignment horizontal="left"/>
    </xf>
    <xf numFmtId="167" fontId="3" fillId="0" borderId="0" xfId="0" applyNumberFormat="1" applyFont="1"/>
    <xf numFmtId="0" fontId="2" fillId="3" borderId="0" xfId="0" applyFont="1" applyFill="1"/>
    <xf numFmtId="166" fontId="2" fillId="3" borderId="0" xfId="0" applyNumberFormat="1" applyFont="1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1" fillId="3" borderId="0" xfId="0" applyFont="1" applyFill="1"/>
    <xf numFmtId="166" fontId="1" fillId="3" borderId="0" xfId="0" applyNumberFormat="1" applyFont="1" applyFill="1"/>
    <xf numFmtId="0" fontId="0" fillId="3" borderId="0" xfId="0" applyFill="1"/>
    <xf numFmtId="167" fontId="3" fillId="6" borderId="0" xfId="0" applyNumberFormat="1" applyFont="1" applyFill="1"/>
    <xf numFmtId="167" fontId="0" fillId="0" borderId="0" xfId="0" applyNumberFormat="1"/>
    <xf numFmtId="0" fontId="1" fillId="5" borderId="0" xfId="0" applyFont="1" applyFill="1"/>
    <xf numFmtId="0" fontId="4" fillId="7" borderId="0" xfId="0" applyFont="1" applyFill="1"/>
    <xf numFmtId="0" fontId="2" fillId="8" borderId="0" xfId="0" applyFont="1" applyFill="1"/>
    <xf numFmtId="2" fontId="0" fillId="0" borderId="0" xfId="0" applyNumberFormat="1"/>
    <xf numFmtId="14" fontId="0" fillId="0" borderId="0" xfId="0" applyNumberFormat="1"/>
    <xf numFmtId="167" fontId="0" fillId="9" borderId="0" xfId="0" applyNumberFormat="1" applyFill="1"/>
    <xf numFmtId="0" fontId="0" fillId="9" borderId="0" xfId="0" applyFill="1"/>
    <xf numFmtId="166" fontId="4" fillId="9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49978127734033"/>
                  <c:y val="-8.8581583552055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Sales!$A$2:$A$38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Sales!$C$2:$C$38</c:f>
              <c:numCache>
                <c:formatCode>0.00</c:formatCode>
                <c:ptCount val="37"/>
                <c:pt idx="0">
                  <c:v>15627</c:v>
                </c:pt>
                <c:pt idx="1">
                  <c:v>14927</c:v>
                </c:pt>
                <c:pt idx="2">
                  <c:v>15407</c:v>
                </c:pt>
                <c:pt idx="3">
                  <c:v>15568</c:v>
                </c:pt>
                <c:pt idx="4">
                  <c:v>15655</c:v>
                </c:pt>
                <c:pt idx="5">
                  <c:v>16503</c:v>
                </c:pt>
                <c:pt idx="6">
                  <c:v>17041</c:v>
                </c:pt>
                <c:pt idx="7">
                  <c:v>16853</c:v>
                </c:pt>
                <c:pt idx="8">
                  <c:v>17374</c:v>
                </c:pt>
                <c:pt idx="9">
                  <c:v>17386</c:v>
                </c:pt>
                <c:pt idx="10">
                  <c:v>16220</c:v>
                </c:pt>
                <c:pt idx="11">
                  <c:v>16380</c:v>
                </c:pt>
                <c:pt idx="12">
                  <c:v>16578</c:v>
                </c:pt>
                <c:pt idx="13">
                  <c:v>16938</c:v>
                </c:pt>
                <c:pt idx="14">
                  <c:v>18047</c:v>
                </c:pt>
                <c:pt idx="15">
                  <c:v>17569</c:v>
                </c:pt>
                <c:pt idx="16">
                  <c:v>18533</c:v>
                </c:pt>
                <c:pt idx="17">
                  <c:v>17877</c:v>
                </c:pt>
                <c:pt idx="18">
                  <c:v>17404</c:v>
                </c:pt>
                <c:pt idx="19">
                  <c:v>17697</c:v>
                </c:pt>
                <c:pt idx="20">
                  <c:v>19301</c:v>
                </c:pt>
                <c:pt idx="21">
                  <c:v>19440</c:v>
                </c:pt>
                <c:pt idx="22">
                  <c:v>19490</c:v>
                </c:pt>
                <c:pt idx="23">
                  <c:v>19822</c:v>
                </c:pt>
                <c:pt idx="24">
                  <c:v>20291</c:v>
                </c:pt>
                <c:pt idx="25">
                  <c:v>19956</c:v>
                </c:pt>
                <c:pt idx="26">
                  <c:v>20658</c:v>
                </c:pt>
                <c:pt idx="27">
                  <c:v>21914</c:v>
                </c:pt>
                <c:pt idx="28">
                  <c:v>21550</c:v>
                </c:pt>
                <c:pt idx="29">
                  <c:v>20840</c:v>
                </c:pt>
                <c:pt idx="30">
                  <c:v>21739</c:v>
                </c:pt>
                <c:pt idx="31">
                  <c:v>21998</c:v>
                </c:pt>
                <c:pt idx="32">
                  <c:v>21870</c:v>
                </c:pt>
                <c:pt idx="33">
                  <c:v>23310</c:v>
                </c:pt>
                <c:pt idx="34">
                  <c:v>23953</c:v>
                </c:pt>
                <c:pt idx="35">
                  <c:v>23787</c:v>
                </c:pt>
                <c:pt idx="36">
                  <c:v>24520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6-46CC-AD23-D3E1346E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823648"/>
        <c:axId val="1837818848"/>
      </c:lineChart>
      <c:catAx>
        <c:axId val="183782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18848"/>
        <c:crosses val="autoZero"/>
        <c:auto val="1"/>
        <c:lblAlgn val="ctr"/>
        <c:lblOffset val="100"/>
        <c:noMultiLvlLbl val="0"/>
      </c:catAx>
      <c:valAx>
        <c:axId val="183781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2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49978127734033"/>
                  <c:y val="-8.8581583552055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'Holt''s Exponential Smoothing'!$A$2:$A$38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'Holt''s Exponential Smoothing'!$C$2:$C$38</c:f>
              <c:numCache>
                <c:formatCode>0.00</c:formatCode>
                <c:ptCount val="37"/>
                <c:pt idx="0">
                  <c:v>15627</c:v>
                </c:pt>
                <c:pt idx="1">
                  <c:v>14927</c:v>
                </c:pt>
                <c:pt idx="2">
                  <c:v>15407</c:v>
                </c:pt>
                <c:pt idx="3">
                  <c:v>15568</c:v>
                </c:pt>
                <c:pt idx="4">
                  <c:v>15655</c:v>
                </c:pt>
                <c:pt idx="5">
                  <c:v>16503</c:v>
                </c:pt>
                <c:pt idx="6">
                  <c:v>17041</c:v>
                </c:pt>
                <c:pt idx="7">
                  <c:v>16853</c:v>
                </c:pt>
                <c:pt idx="8">
                  <c:v>17374</c:v>
                </c:pt>
                <c:pt idx="9">
                  <c:v>17386</c:v>
                </c:pt>
                <c:pt idx="10">
                  <c:v>16220</c:v>
                </c:pt>
                <c:pt idx="11">
                  <c:v>16380</c:v>
                </c:pt>
                <c:pt idx="12">
                  <c:v>16578</c:v>
                </c:pt>
                <c:pt idx="13">
                  <c:v>16938</c:v>
                </c:pt>
                <c:pt idx="14">
                  <c:v>18047</c:v>
                </c:pt>
                <c:pt idx="15">
                  <c:v>17569</c:v>
                </c:pt>
                <c:pt idx="16">
                  <c:v>18533</c:v>
                </c:pt>
                <c:pt idx="17">
                  <c:v>17877</c:v>
                </c:pt>
                <c:pt idx="18">
                  <c:v>17404</c:v>
                </c:pt>
                <c:pt idx="19">
                  <c:v>17697</c:v>
                </c:pt>
                <c:pt idx="20">
                  <c:v>19301</c:v>
                </c:pt>
                <c:pt idx="21">
                  <c:v>19440</c:v>
                </c:pt>
                <c:pt idx="22">
                  <c:v>19490</c:v>
                </c:pt>
                <c:pt idx="23">
                  <c:v>19822</c:v>
                </c:pt>
                <c:pt idx="24">
                  <c:v>20291</c:v>
                </c:pt>
                <c:pt idx="25">
                  <c:v>19956</c:v>
                </c:pt>
                <c:pt idx="26">
                  <c:v>20658</c:v>
                </c:pt>
                <c:pt idx="27">
                  <c:v>21914</c:v>
                </c:pt>
                <c:pt idx="28">
                  <c:v>21550</c:v>
                </c:pt>
                <c:pt idx="29">
                  <c:v>20840</c:v>
                </c:pt>
                <c:pt idx="30">
                  <c:v>21739</c:v>
                </c:pt>
                <c:pt idx="31">
                  <c:v>21998</c:v>
                </c:pt>
                <c:pt idx="32">
                  <c:v>21870</c:v>
                </c:pt>
                <c:pt idx="33">
                  <c:v>23310</c:v>
                </c:pt>
                <c:pt idx="34">
                  <c:v>23953</c:v>
                </c:pt>
                <c:pt idx="35">
                  <c:v>23787</c:v>
                </c:pt>
                <c:pt idx="36">
                  <c:v>24520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0-49C9-982B-CF2FF09852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'Holt''s Exponential Smoothing'!$A$2:$A$38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'Holt''s Exponential Smoothing'!$F$3:$F$39</c:f>
              <c:numCache>
                <c:formatCode>0.00</c:formatCode>
                <c:ptCount val="37"/>
                <c:pt idx="0">
                  <c:v>14927</c:v>
                </c:pt>
                <c:pt idx="1">
                  <c:v>14227</c:v>
                </c:pt>
                <c:pt idx="2">
                  <c:v>14861.303379683945</c:v>
                </c:pt>
                <c:pt idx="3">
                  <c:v>15168.639266468708</c:v>
                </c:pt>
                <c:pt idx="4">
                  <c:v>15351.53352306647</c:v>
                </c:pt>
                <c:pt idx="5">
                  <c:v>16372.3316834256</c:v>
                </c:pt>
                <c:pt idx="6">
                  <c:v>17050.390836363262</c:v>
                </c:pt>
                <c:pt idx="7">
                  <c:v>16867.136086509567</c:v>
                </c:pt>
                <c:pt idx="8">
                  <c:v>17445.395961908041</c:v>
                </c:pt>
                <c:pt idx="9">
                  <c:v>17472.791963710337</c:v>
                </c:pt>
                <c:pt idx="10">
                  <c:v>16140.255591267463</c:v>
                </c:pt>
                <c:pt idx="11">
                  <c:v>16274.355123163947</c:v>
                </c:pt>
                <c:pt idx="12">
                  <c:v>16523.017393690217</c:v>
                </c:pt>
                <c:pt idx="13">
                  <c:v>16951.15896566692</c:v>
                </c:pt>
                <c:pt idx="14">
                  <c:v>18222.421355634542</c:v>
                </c:pt>
                <c:pt idx="15">
                  <c:v>17709.054688649809</c:v>
                </c:pt>
                <c:pt idx="16">
                  <c:v>18750.937959422139</c:v>
                </c:pt>
                <c:pt idx="17">
                  <c:v>18018.310069781295</c:v>
                </c:pt>
                <c:pt idx="18">
                  <c:v>17425.041756816216</c:v>
                </c:pt>
                <c:pt idx="19">
                  <c:v>17725.531449963131</c:v>
                </c:pt>
                <c:pt idx="20">
                  <c:v>19547.976601410282</c:v>
                </c:pt>
                <c:pt idx="21">
                  <c:v>19744.853616811601</c:v>
                </c:pt>
                <c:pt idx="22">
                  <c:v>19756.593162038265</c:v>
                </c:pt>
                <c:pt idx="23">
                  <c:v>20085.499682579888</c:v>
                </c:pt>
                <c:pt idx="24">
                  <c:v>20584.361048008541</c:v>
                </c:pt>
                <c:pt idx="25">
                  <c:v>20176.584121406868</c:v>
                </c:pt>
                <c:pt idx="26">
                  <c:v>20912.821553479949</c:v>
                </c:pt>
                <c:pt idx="27">
                  <c:v>22321.741240244977</c:v>
                </c:pt>
                <c:pt idx="28">
                  <c:v>21902.576461819048</c:v>
                </c:pt>
                <c:pt idx="29">
                  <c:v>21018.360578398293</c:v>
                </c:pt>
                <c:pt idx="30">
                  <c:v>21963.037197429428</c:v>
                </c:pt>
                <c:pt idx="31">
                  <c:v>22259.541309464807</c:v>
                </c:pt>
                <c:pt idx="32">
                  <c:v>22082.200465349379</c:v>
                </c:pt>
                <c:pt idx="33">
                  <c:v>23664.952903340163</c:v>
                </c:pt>
                <c:pt idx="34">
                  <c:v>24401.728213735125</c:v>
                </c:pt>
                <c:pt idx="35">
                  <c:v>24168.506261179748</c:v>
                </c:pt>
                <c:pt idx="36">
                  <c:v>24919.377350651357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A0-49C9-982B-CF2FF0985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823648"/>
        <c:axId val="1837818848"/>
      </c:lineChart>
      <c:catAx>
        <c:axId val="183782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18848"/>
        <c:crosses val="autoZero"/>
        <c:auto val="1"/>
        <c:lblAlgn val="ctr"/>
        <c:lblOffset val="100"/>
        <c:noMultiLvlLbl val="0"/>
      </c:catAx>
      <c:valAx>
        <c:axId val="183781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2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Tourist Arrivals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Tourists!$C$1</c:f>
              <c:strCache>
                <c:ptCount val="1"/>
                <c:pt idx="0">
                  <c:v>Arrivals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Tourists!$B$2:$B$61</c:f>
              <c:numCache>
                <c:formatCode>mmm\-yyyy</c:formatCode>
                <c:ptCount val="60"/>
                <c:pt idx="0">
                  <c:v>43040</c:v>
                </c:pt>
                <c:pt idx="1">
                  <c:v>43070</c:v>
                </c:pt>
                <c:pt idx="2">
                  <c:v>43101</c:v>
                </c:pt>
                <c:pt idx="3">
                  <c:v>43132</c:v>
                </c:pt>
                <c:pt idx="4">
                  <c:v>43160</c:v>
                </c:pt>
                <c:pt idx="5">
                  <c:v>43191</c:v>
                </c:pt>
                <c:pt idx="6">
                  <c:v>43221</c:v>
                </c:pt>
                <c:pt idx="7">
                  <c:v>43252</c:v>
                </c:pt>
                <c:pt idx="8">
                  <c:v>43282</c:v>
                </c:pt>
                <c:pt idx="9">
                  <c:v>43313</c:v>
                </c:pt>
                <c:pt idx="10">
                  <c:v>43344</c:v>
                </c:pt>
                <c:pt idx="11">
                  <c:v>43374</c:v>
                </c:pt>
                <c:pt idx="12">
                  <c:v>43405</c:v>
                </c:pt>
                <c:pt idx="13">
                  <c:v>43435</c:v>
                </c:pt>
                <c:pt idx="14">
                  <c:v>43466</c:v>
                </c:pt>
                <c:pt idx="15">
                  <c:v>43497</c:v>
                </c:pt>
                <c:pt idx="16">
                  <c:v>43525</c:v>
                </c:pt>
                <c:pt idx="17">
                  <c:v>43556</c:v>
                </c:pt>
                <c:pt idx="18">
                  <c:v>43586</c:v>
                </c:pt>
                <c:pt idx="19">
                  <c:v>43617</c:v>
                </c:pt>
                <c:pt idx="20">
                  <c:v>43647</c:v>
                </c:pt>
                <c:pt idx="21">
                  <c:v>43678</c:v>
                </c:pt>
                <c:pt idx="22">
                  <c:v>43709</c:v>
                </c:pt>
                <c:pt idx="23">
                  <c:v>43739</c:v>
                </c:pt>
                <c:pt idx="24">
                  <c:v>43770</c:v>
                </c:pt>
                <c:pt idx="25">
                  <c:v>43800</c:v>
                </c:pt>
                <c:pt idx="26">
                  <c:v>43831</c:v>
                </c:pt>
                <c:pt idx="27">
                  <c:v>43862</c:v>
                </c:pt>
                <c:pt idx="28">
                  <c:v>43891</c:v>
                </c:pt>
                <c:pt idx="29">
                  <c:v>43922</c:v>
                </c:pt>
                <c:pt idx="30">
                  <c:v>43952</c:v>
                </c:pt>
                <c:pt idx="31">
                  <c:v>43983</c:v>
                </c:pt>
                <c:pt idx="32">
                  <c:v>44013</c:v>
                </c:pt>
                <c:pt idx="33">
                  <c:v>44044</c:v>
                </c:pt>
                <c:pt idx="34">
                  <c:v>44075</c:v>
                </c:pt>
                <c:pt idx="35">
                  <c:v>44105</c:v>
                </c:pt>
                <c:pt idx="36">
                  <c:v>44136</c:v>
                </c:pt>
                <c:pt idx="37">
                  <c:v>44166</c:v>
                </c:pt>
                <c:pt idx="38">
                  <c:v>44197</c:v>
                </c:pt>
                <c:pt idx="39">
                  <c:v>44228</c:v>
                </c:pt>
                <c:pt idx="40">
                  <c:v>44256</c:v>
                </c:pt>
                <c:pt idx="41">
                  <c:v>44287</c:v>
                </c:pt>
                <c:pt idx="42">
                  <c:v>44317</c:v>
                </c:pt>
                <c:pt idx="43">
                  <c:v>44348</c:v>
                </c:pt>
                <c:pt idx="44">
                  <c:v>44378</c:v>
                </c:pt>
                <c:pt idx="45">
                  <c:v>44409</c:v>
                </c:pt>
                <c:pt idx="46">
                  <c:v>44440</c:v>
                </c:pt>
                <c:pt idx="47">
                  <c:v>44470</c:v>
                </c:pt>
                <c:pt idx="48">
                  <c:v>44501</c:v>
                </c:pt>
                <c:pt idx="49">
                  <c:v>44531</c:v>
                </c:pt>
                <c:pt idx="50">
                  <c:v>44562</c:v>
                </c:pt>
                <c:pt idx="51">
                  <c:v>44593</c:v>
                </c:pt>
                <c:pt idx="52">
                  <c:v>44621</c:v>
                </c:pt>
                <c:pt idx="53">
                  <c:v>44652</c:v>
                </c:pt>
                <c:pt idx="54">
                  <c:v>44682</c:v>
                </c:pt>
                <c:pt idx="55">
                  <c:v>44713</c:v>
                </c:pt>
                <c:pt idx="56">
                  <c:v>44743</c:v>
                </c:pt>
                <c:pt idx="57">
                  <c:v>44774</c:v>
                </c:pt>
                <c:pt idx="58">
                  <c:v>44805</c:v>
                </c:pt>
                <c:pt idx="59">
                  <c:v>44835</c:v>
                </c:pt>
              </c:numCache>
            </c:numRef>
          </c:cat>
          <c:val>
            <c:numRef>
              <c:f>Tourists!$C$2:$C$61</c:f>
              <c:numCache>
                <c:formatCode>0;\-0;0;@</c:formatCode>
                <c:ptCount val="60"/>
                <c:pt idx="0">
                  <c:v>1100</c:v>
                </c:pt>
                <c:pt idx="1">
                  <c:v>1700</c:v>
                </c:pt>
                <c:pt idx="2">
                  <c:v>1100</c:v>
                </c:pt>
                <c:pt idx="3">
                  <c:v>1100</c:v>
                </c:pt>
                <c:pt idx="4">
                  <c:v>900</c:v>
                </c:pt>
                <c:pt idx="5">
                  <c:v>800</c:v>
                </c:pt>
                <c:pt idx="6">
                  <c:v>700</c:v>
                </c:pt>
                <c:pt idx="7">
                  <c:v>900</c:v>
                </c:pt>
                <c:pt idx="8">
                  <c:v>900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1300</c:v>
                </c:pt>
                <c:pt idx="13">
                  <c:v>1800</c:v>
                </c:pt>
                <c:pt idx="14">
                  <c:v>1100</c:v>
                </c:pt>
                <c:pt idx="15">
                  <c:v>1200</c:v>
                </c:pt>
                <c:pt idx="16">
                  <c:v>1100</c:v>
                </c:pt>
                <c:pt idx="17">
                  <c:v>1000</c:v>
                </c:pt>
                <c:pt idx="18">
                  <c:v>800</c:v>
                </c:pt>
                <c:pt idx="19">
                  <c:v>1200</c:v>
                </c:pt>
                <c:pt idx="20">
                  <c:v>1100</c:v>
                </c:pt>
                <c:pt idx="21">
                  <c:v>900</c:v>
                </c:pt>
                <c:pt idx="22">
                  <c:v>1000</c:v>
                </c:pt>
                <c:pt idx="23">
                  <c:v>1000</c:v>
                </c:pt>
                <c:pt idx="24">
                  <c:v>1400</c:v>
                </c:pt>
                <c:pt idx="25">
                  <c:v>2000</c:v>
                </c:pt>
                <c:pt idx="26">
                  <c:v>1300</c:v>
                </c:pt>
                <c:pt idx="27">
                  <c:v>1300</c:v>
                </c:pt>
                <c:pt idx="28">
                  <c:v>1200</c:v>
                </c:pt>
                <c:pt idx="29">
                  <c:v>1300</c:v>
                </c:pt>
                <c:pt idx="30">
                  <c:v>900</c:v>
                </c:pt>
                <c:pt idx="31">
                  <c:v>1200</c:v>
                </c:pt>
                <c:pt idx="32">
                  <c:v>1300</c:v>
                </c:pt>
                <c:pt idx="33">
                  <c:v>1200</c:v>
                </c:pt>
                <c:pt idx="34">
                  <c:v>1100</c:v>
                </c:pt>
                <c:pt idx="35">
                  <c:v>1400</c:v>
                </c:pt>
                <c:pt idx="36">
                  <c:v>1600</c:v>
                </c:pt>
                <c:pt idx="37">
                  <c:v>2100</c:v>
                </c:pt>
                <c:pt idx="38">
                  <c:v>2100</c:v>
                </c:pt>
                <c:pt idx="39">
                  <c:v>1400</c:v>
                </c:pt>
                <c:pt idx="40">
                  <c:v>1500</c:v>
                </c:pt>
                <c:pt idx="41">
                  <c:v>1300</c:v>
                </c:pt>
                <c:pt idx="42">
                  <c:v>1200</c:v>
                </c:pt>
                <c:pt idx="43">
                  <c:v>1400</c:v>
                </c:pt>
                <c:pt idx="44">
                  <c:v>1400</c:v>
                </c:pt>
                <c:pt idx="45">
                  <c:v>1500</c:v>
                </c:pt>
                <c:pt idx="46">
                  <c:v>1500</c:v>
                </c:pt>
                <c:pt idx="47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6-417F-B1E8-61646A8EA358}"/>
            </c:ext>
          </c:extLst>
        </c:ser>
        <c:ser>
          <c:idx val="1"/>
          <c:order val="1"/>
          <c:tx>
            <c:strRef>
              <c:f>Tourists!$G$1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Tourists!$B$2:$B$61</c:f>
              <c:numCache>
                <c:formatCode>mmm\-yyyy</c:formatCode>
                <c:ptCount val="60"/>
                <c:pt idx="0">
                  <c:v>43040</c:v>
                </c:pt>
                <c:pt idx="1">
                  <c:v>43070</c:v>
                </c:pt>
                <c:pt idx="2">
                  <c:v>43101</c:v>
                </c:pt>
                <c:pt idx="3">
                  <c:v>43132</c:v>
                </c:pt>
                <c:pt idx="4">
                  <c:v>43160</c:v>
                </c:pt>
                <c:pt idx="5">
                  <c:v>43191</c:v>
                </c:pt>
                <c:pt idx="6">
                  <c:v>43221</c:v>
                </c:pt>
                <c:pt idx="7">
                  <c:v>43252</c:v>
                </c:pt>
                <c:pt idx="8">
                  <c:v>43282</c:v>
                </c:pt>
                <c:pt idx="9">
                  <c:v>43313</c:v>
                </c:pt>
                <c:pt idx="10">
                  <c:v>43344</c:v>
                </c:pt>
                <c:pt idx="11">
                  <c:v>43374</c:v>
                </c:pt>
                <c:pt idx="12">
                  <c:v>43405</c:v>
                </c:pt>
                <c:pt idx="13">
                  <c:v>43435</c:v>
                </c:pt>
                <c:pt idx="14">
                  <c:v>43466</c:v>
                </c:pt>
                <c:pt idx="15">
                  <c:v>43497</c:v>
                </c:pt>
                <c:pt idx="16">
                  <c:v>43525</c:v>
                </c:pt>
                <c:pt idx="17">
                  <c:v>43556</c:v>
                </c:pt>
                <c:pt idx="18">
                  <c:v>43586</c:v>
                </c:pt>
                <c:pt idx="19">
                  <c:v>43617</c:v>
                </c:pt>
                <c:pt idx="20">
                  <c:v>43647</c:v>
                </c:pt>
                <c:pt idx="21">
                  <c:v>43678</c:v>
                </c:pt>
                <c:pt idx="22">
                  <c:v>43709</c:v>
                </c:pt>
                <c:pt idx="23">
                  <c:v>43739</c:v>
                </c:pt>
                <c:pt idx="24">
                  <c:v>43770</c:v>
                </c:pt>
                <c:pt idx="25">
                  <c:v>43800</c:v>
                </c:pt>
                <c:pt idx="26">
                  <c:v>43831</c:v>
                </c:pt>
                <c:pt idx="27">
                  <c:v>43862</c:v>
                </c:pt>
                <c:pt idx="28">
                  <c:v>43891</c:v>
                </c:pt>
                <c:pt idx="29">
                  <c:v>43922</c:v>
                </c:pt>
                <c:pt idx="30">
                  <c:v>43952</c:v>
                </c:pt>
                <c:pt idx="31">
                  <c:v>43983</c:v>
                </c:pt>
                <c:pt idx="32">
                  <c:v>44013</c:v>
                </c:pt>
                <c:pt idx="33">
                  <c:v>44044</c:v>
                </c:pt>
                <c:pt idx="34">
                  <c:v>44075</c:v>
                </c:pt>
                <c:pt idx="35">
                  <c:v>44105</c:v>
                </c:pt>
                <c:pt idx="36">
                  <c:v>44136</c:v>
                </c:pt>
                <c:pt idx="37">
                  <c:v>44166</c:v>
                </c:pt>
                <c:pt idx="38">
                  <c:v>44197</c:v>
                </c:pt>
                <c:pt idx="39">
                  <c:v>44228</c:v>
                </c:pt>
                <c:pt idx="40">
                  <c:v>44256</c:v>
                </c:pt>
                <c:pt idx="41">
                  <c:v>44287</c:v>
                </c:pt>
                <c:pt idx="42">
                  <c:v>44317</c:v>
                </c:pt>
                <c:pt idx="43">
                  <c:v>44348</c:v>
                </c:pt>
                <c:pt idx="44">
                  <c:v>44378</c:v>
                </c:pt>
                <c:pt idx="45">
                  <c:v>44409</c:v>
                </c:pt>
                <c:pt idx="46">
                  <c:v>44440</c:v>
                </c:pt>
                <c:pt idx="47">
                  <c:v>44470</c:v>
                </c:pt>
                <c:pt idx="48">
                  <c:v>44501</c:v>
                </c:pt>
                <c:pt idx="49">
                  <c:v>44531</c:v>
                </c:pt>
                <c:pt idx="50">
                  <c:v>44562</c:v>
                </c:pt>
                <c:pt idx="51">
                  <c:v>44593</c:v>
                </c:pt>
                <c:pt idx="52">
                  <c:v>44621</c:v>
                </c:pt>
                <c:pt idx="53">
                  <c:v>44652</c:v>
                </c:pt>
                <c:pt idx="54">
                  <c:v>44682</c:v>
                </c:pt>
                <c:pt idx="55">
                  <c:v>44713</c:v>
                </c:pt>
                <c:pt idx="56">
                  <c:v>44743</c:v>
                </c:pt>
                <c:pt idx="57">
                  <c:v>44774</c:v>
                </c:pt>
                <c:pt idx="58">
                  <c:v>44805</c:v>
                </c:pt>
                <c:pt idx="59">
                  <c:v>44835</c:v>
                </c:pt>
              </c:numCache>
            </c:numRef>
          </c:cat>
          <c:val>
            <c:numRef>
              <c:f>Tourists!$G$2:$G$61</c:f>
              <c:numCache>
                <c:formatCode>General</c:formatCode>
                <c:ptCount val="60"/>
                <c:pt idx="12">
                  <c:v>1114.7931034482758</c:v>
                </c:pt>
                <c:pt idx="13">
                  <c:v>1749.16437764804</c:v>
                </c:pt>
                <c:pt idx="14">
                  <c:v>1148.1137215294625</c:v>
                </c:pt>
                <c:pt idx="15">
                  <c:v>1163.6392330914318</c:v>
                </c:pt>
                <c:pt idx="16">
                  <c:v>965.36529473775249</c:v>
                </c:pt>
                <c:pt idx="17">
                  <c:v>871.20137134190088</c:v>
                </c:pt>
                <c:pt idx="18">
                  <c:v>774.48797460476874</c:v>
                </c:pt>
                <c:pt idx="19">
                  <c:v>1010.962425758197</c:v>
                </c:pt>
                <c:pt idx="20">
                  <c:v>1028.22955574002</c:v>
                </c:pt>
                <c:pt idx="21">
                  <c:v>929.08735021774339</c:v>
                </c:pt>
                <c:pt idx="22">
                  <c:v>943.45987870467354</c:v>
                </c:pt>
                <c:pt idx="23">
                  <c:v>958.68677707102643</c:v>
                </c:pt>
                <c:pt idx="24">
                  <c:v>1353.1540361715872</c:v>
                </c:pt>
                <c:pt idx="25">
                  <c:v>2106.7191756345451</c:v>
                </c:pt>
                <c:pt idx="26">
                  <c:v>1377.3811470582937</c:v>
                </c:pt>
                <c:pt idx="27">
                  <c:v>1403.4378698410715</c:v>
                </c:pt>
                <c:pt idx="28">
                  <c:v>1171.6168423227168</c:v>
                </c:pt>
                <c:pt idx="29">
                  <c:v>1056.6539708075452</c:v>
                </c:pt>
                <c:pt idx="30">
                  <c:v>933.20496973568697</c:v>
                </c:pt>
                <c:pt idx="31">
                  <c:v>1228.7922737062509</c:v>
                </c:pt>
                <c:pt idx="32">
                  <c:v>1237.267442243819</c:v>
                </c:pt>
                <c:pt idx="33">
                  <c:v>1109.0201160631498</c:v>
                </c:pt>
                <c:pt idx="34">
                  <c:v>1132.274483130413</c:v>
                </c:pt>
                <c:pt idx="35">
                  <c:v>1147.0996279841906</c:v>
                </c:pt>
                <c:pt idx="36">
                  <c:v>1619.3958358597947</c:v>
                </c:pt>
                <c:pt idx="37">
                  <c:v>2505.6624649751188</c:v>
                </c:pt>
                <c:pt idx="38">
                  <c:v>1634.5149747709268</c:v>
                </c:pt>
                <c:pt idx="39">
                  <c:v>1668.3231958797351</c:v>
                </c:pt>
                <c:pt idx="40">
                  <c:v>1400.8732701386537</c:v>
                </c:pt>
                <c:pt idx="41">
                  <c:v>1280.5506047187034</c:v>
                </c:pt>
                <c:pt idx="42">
                  <c:v>1110.273858782537</c:v>
                </c:pt>
                <c:pt idx="43">
                  <c:v>1463.9942062093417</c:v>
                </c:pt>
                <c:pt idx="44">
                  <c:v>1480.451286754542</c:v>
                </c:pt>
                <c:pt idx="45">
                  <c:v>1327.6916417168668</c:v>
                </c:pt>
                <c:pt idx="46">
                  <c:v>1346.0124088191631</c:v>
                </c:pt>
                <c:pt idx="47">
                  <c:v>1386.4345891353757</c:v>
                </c:pt>
                <c:pt idx="48" formatCode="0.000">
                  <c:v>1923.6647865563484</c:v>
                </c:pt>
                <c:pt idx="49" formatCode="0.000">
                  <c:v>2945.4012853217109</c:v>
                </c:pt>
                <c:pt idx="50">
                  <c:v>1976.6933505308548</c:v>
                </c:pt>
                <c:pt idx="51">
                  <c:v>1955.7455327755308</c:v>
                </c:pt>
                <c:pt idx="52">
                  <c:v>1666.253424474588</c:v>
                </c:pt>
                <c:pt idx="53">
                  <c:v>1515.3479535570425</c:v>
                </c:pt>
                <c:pt idx="54">
                  <c:v>1317.3424757719968</c:v>
                </c:pt>
                <c:pt idx="55">
                  <c:v>1719.8138100561891</c:v>
                </c:pt>
                <c:pt idx="56">
                  <c:v>1735.9317112141582</c:v>
                </c:pt>
                <c:pt idx="57">
                  <c:v>1573.4580706432844</c:v>
                </c:pt>
                <c:pt idx="58">
                  <c:v>1589.515257959994</c:v>
                </c:pt>
                <c:pt idx="59">
                  <c:v>1614.3427231612923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6-417F-B1E8-61646A8EA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546880"/>
        <c:axId val="239547296"/>
      </c:lineChart>
      <c:dateAx>
        <c:axId val="239546880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547296"/>
        <c:crosses val="autoZero"/>
        <c:auto val="1"/>
        <c:lblOffset val="100"/>
        <c:baseTimeUnit val="months"/>
      </c:dateAx>
      <c:valAx>
        <c:axId val="23954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54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Tourists!$J$1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Tourists!$J$15:$J$50</c:f>
              <c:numCache>
                <c:formatCode>General</c:formatCode>
                <c:ptCount val="36"/>
                <c:pt idx="0">
                  <c:v>185.20689655172418</c:v>
                </c:pt>
                <c:pt idx="1">
                  <c:v>50.835622351959955</c:v>
                </c:pt>
                <c:pt idx="2">
                  <c:v>-48.113721529462509</c:v>
                </c:pt>
                <c:pt idx="3">
                  <c:v>36.360766908568166</c:v>
                </c:pt>
                <c:pt idx="4">
                  <c:v>134.63470526224751</c:v>
                </c:pt>
                <c:pt idx="5">
                  <c:v>128.79862865809912</c:v>
                </c:pt>
                <c:pt idx="6">
                  <c:v>25.512025395231262</c:v>
                </c:pt>
                <c:pt idx="7">
                  <c:v>189.03757424180299</c:v>
                </c:pt>
                <c:pt idx="8">
                  <c:v>71.770444259979968</c:v>
                </c:pt>
                <c:pt idx="9">
                  <c:v>-29.087350217743392</c:v>
                </c:pt>
                <c:pt idx="10">
                  <c:v>56.540121295326458</c:v>
                </c:pt>
                <c:pt idx="11">
                  <c:v>41.313222928973573</c:v>
                </c:pt>
                <c:pt idx="12">
                  <c:v>46.845963828412778</c:v>
                </c:pt>
                <c:pt idx="13">
                  <c:v>-106.71917563454508</c:v>
                </c:pt>
                <c:pt idx="14">
                  <c:v>-77.381147058293664</c:v>
                </c:pt>
                <c:pt idx="15">
                  <c:v>-103.43786984107146</c:v>
                </c:pt>
                <c:pt idx="16">
                  <c:v>28.38315767728318</c:v>
                </c:pt>
                <c:pt idx="17">
                  <c:v>243.34602919245481</c:v>
                </c:pt>
                <c:pt idx="18">
                  <c:v>-33.204969735686973</c:v>
                </c:pt>
                <c:pt idx="19">
                  <c:v>-28.792273706250853</c:v>
                </c:pt>
                <c:pt idx="20">
                  <c:v>62.732557756180995</c:v>
                </c:pt>
                <c:pt idx="21">
                  <c:v>90.979883936850229</c:v>
                </c:pt>
                <c:pt idx="22">
                  <c:v>-32.274483130413046</c:v>
                </c:pt>
                <c:pt idx="23">
                  <c:v>252.90037201580935</c:v>
                </c:pt>
                <c:pt idx="24">
                  <c:v>-19.395835859794715</c:v>
                </c:pt>
                <c:pt idx="25">
                  <c:v>-405.66246497511884</c:v>
                </c:pt>
                <c:pt idx="26">
                  <c:v>465.48502522907324</c:v>
                </c:pt>
                <c:pt idx="27">
                  <c:v>-268.32319587973507</c:v>
                </c:pt>
                <c:pt idx="28">
                  <c:v>99.126729861346348</c:v>
                </c:pt>
                <c:pt idx="29">
                  <c:v>19.449395281296574</c:v>
                </c:pt>
                <c:pt idx="30">
                  <c:v>89.72614121746301</c:v>
                </c:pt>
                <c:pt idx="31">
                  <c:v>-63.994206209341655</c:v>
                </c:pt>
                <c:pt idx="32">
                  <c:v>-80.451286754542025</c:v>
                </c:pt>
                <c:pt idx="33">
                  <c:v>172.3083582831332</c:v>
                </c:pt>
                <c:pt idx="34">
                  <c:v>153.98759118083694</c:v>
                </c:pt>
                <c:pt idx="35">
                  <c:v>-86.434589135375745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6-4A58-B3CF-D9565FE0E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981584"/>
        <c:axId val="793985744"/>
      </c:lineChart>
      <c:catAx>
        <c:axId val="79398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985744"/>
        <c:crosses val="autoZero"/>
        <c:auto val="1"/>
        <c:lblAlgn val="ctr"/>
        <c:lblOffset val="100"/>
        <c:noMultiLvlLbl val="0"/>
      </c:catAx>
      <c:valAx>
        <c:axId val="793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98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376237</xdr:rowOff>
    </xdr:from>
    <xdr:to>
      <xdr:col>11</xdr:col>
      <xdr:colOff>323850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3A298-820D-D7D4-978E-3C9C5F975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2</xdr:row>
      <xdr:rowOff>180975</xdr:rowOff>
    </xdr:from>
    <xdr:to>
      <xdr:col>12</xdr:col>
      <xdr:colOff>285750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8C18E-8800-465E-ABD4-517D6E34E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21166</xdr:colOff>
      <xdr:row>3</xdr:row>
      <xdr:rowOff>78316</xdr:rowOff>
    </xdr:from>
    <xdr:to>
      <xdr:col>12</xdr:col>
      <xdr:colOff>566207</xdr:colOff>
      <xdr:row>13</xdr:row>
      <xdr:rowOff>204611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A09BC-E182-4950-A13D-C9271D30E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-1</xdr:colOff>
      <xdr:row>17</xdr:row>
      <xdr:rowOff>92428</xdr:rowOff>
    </xdr:from>
    <xdr:to>
      <xdr:col>19</xdr:col>
      <xdr:colOff>275866</xdr:colOff>
      <xdr:row>27</xdr:row>
      <xdr:rowOff>219295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71A496-AF7D-44A4-AF76-B0F15C02C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327D-08A4-4E75-B6B3-CF66015F9499}">
  <dimension ref="A1:C39"/>
  <sheetViews>
    <sheetView tabSelected="1" topLeftCell="A21" workbookViewId="0">
      <selection activeCell="D38" sqref="D38"/>
    </sheetView>
  </sheetViews>
  <sheetFormatPr defaultRowHeight="15" x14ac:dyDescent="0.25"/>
  <cols>
    <col min="1" max="1" width="8.7109375"/>
    <col min="2" max="2" width="9" bestFit="1" customWidth="1"/>
    <col min="3" max="3" width="15" style="1" bestFit="1" customWidth="1"/>
  </cols>
  <sheetData>
    <row r="1" spans="1:3" ht="30" x14ac:dyDescent="0.25">
      <c r="A1" s="4" t="s">
        <v>4</v>
      </c>
      <c r="B1" s="4" t="s">
        <v>0</v>
      </c>
      <c r="C1" s="3" t="s">
        <v>5</v>
      </c>
    </row>
    <row r="2" spans="1:3" x14ac:dyDescent="0.25">
      <c r="A2">
        <v>1</v>
      </c>
      <c r="B2" s="2">
        <v>41061</v>
      </c>
      <c r="C2" s="21">
        <v>15627</v>
      </c>
    </row>
    <row r="3" spans="1:3" x14ac:dyDescent="0.25">
      <c r="A3">
        <v>2</v>
      </c>
      <c r="B3" s="2">
        <v>41153</v>
      </c>
      <c r="C3" s="21">
        <v>14927</v>
      </c>
    </row>
    <row r="4" spans="1:3" x14ac:dyDescent="0.25">
      <c r="A4">
        <v>3</v>
      </c>
      <c r="B4" s="2">
        <v>41244</v>
      </c>
      <c r="C4" s="21">
        <v>15407</v>
      </c>
    </row>
    <row r="5" spans="1:3" x14ac:dyDescent="0.25">
      <c r="A5">
        <v>4</v>
      </c>
      <c r="B5" s="2">
        <v>41334</v>
      </c>
      <c r="C5" s="21">
        <v>15568</v>
      </c>
    </row>
    <row r="6" spans="1:3" x14ac:dyDescent="0.25">
      <c r="A6">
        <v>5</v>
      </c>
      <c r="B6" s="2">
        <v>41426</v>
      </c>
      <c r="C6" s="21">
        <v>15655</v>
      </c>
    </row>
    <row r="7" spans="1:3" x14ac:dyDescent="0.25">
      <c r="A7">
        <v>6</v>
      </c>
      <c r="B7" s="2">
        <v>41518</v>
      </c>
      <c r="C7" s="21">
        <v>16503</v>
      </c>
    </row>
    <row r="8" spans="1:3" x14ac:dyDescent="0.25">
      <c r="A8">
        <v>7</v>
      </c>
      <c r="B8" s="2">
        <v>41609</v>
      </c>
      <c r="C8" s="21">
        <v>17041</v>
      </c>
    </row>
    <row r="9" spans="1:3" x14ac:dyDescent="0.25">
      <c r="A9">
        <v>8</v>
      </c>
      <c r="B9" s="2">
        <v>41699</v>
      </c>
      <c r="C9" s="21">
        <v>16853</v>
      </c>
    </row>
    <row r="10" spans="1:3" x14ac:dyDescent="0.25">
      <c r="A10">
        <v>9</v>
      </c>
      <c r="B10" s="2">
        <v>41791</v>
      </c>
      <c r="C10" s="21">
        <v>17374</v>
      </c>
    </row>
    <row r="11" spans="1:3" x14ac:dyDescent="0.25">
      <c r="A11">
        <v>10</v>
      </c>
      <c r="B11" s="2">
        <v>41883</v>
      </c>
      <c r="C11" s="21">
        <v>17386</v>
      </c>
    </row>
    <row r="12" spans="1:3" x14ac:dyDescent="0.25">
      <c r="A12">
        <v>11</v>
      </c>
      <c r="B12" s="2">
        <v>41974</v>
      </c>
      <c r="C12" s="21">
        <v>16220</v>
      </c>
    </row>
    <row r="13" spans="1:3" x14ac:dyDescent="0.25">
      <c r="A13">
        <v>12</v>
      </c>
      <c r="B13" s="2">
        <v>42064</v>
      </c>
      <c r="C13" s="21">
        <v>16380</v>
      </c>
    </row>
    <row r="14" spans="1:3" x14ac:dyDescent="0.25">
      <c r="A14">
        <v>13</v>
      </c>
      <c r="B14" s="2">
        <v>42156</v>
      </c>
      <c r="C14" s="21">
        <v>16578</v>
      </c>
    </row>
    <row r="15" spans="1:3" x14ac:dyDescent="0.25">
      <c r="A15">
        <v>14</v>
      </c>
      <c r="B15" s="2">
        <v>42248</v>
      </c>
      <c r="C15" s="21">
        <v>16938</v>
      </c>
    </row>
    <row r="16" spans="1:3" x14ac:dyDescent="0.25">
      <c r="A16">
        <v>15</v>
      </c>
      <c r="B16" s="2">
        <v>42339</v>
      </c>
      <c r="C16" s="21">
        <v>18047</v>
      </c>
    </row>
    <row r="17" spans="1:3" x14ac:dyDescent="0.25">
      <c r="A17">
        <v>16</v>
      </c>
      <c r="B17" s="2">
        <v>42430</v>
      </c>
      <c r="C17" s="21">
        <v>17569</v>
      </c>
    </row>
    <row r="18" spans="1:3" x14ac:dyDescent="0.25">
      <c r="A18">
        <v>17</v>
      </c>
      <c r="B18" s="2">
        <v>42522</v>
      </c>
      <c r="C18" s="21">
        <v>18533</v>
      </c>
    </row>
    <row r="19" spans="1:3" x14ac:dyDescent="0.25">
      <c r="A19">
        <v>18</v>
      </c>
      <c r="B19" s="2">
        <v>42614</v>
      </c>
      <c r="C19" s="21">
        <v>17877</v>
      </c>
    </row>
    <row r="20" spans="1:3" x14ac:dyDescent="0.25">
      <c r="A20">
        <v>19</v>
      </c>
      <c r="B20" s="2">
        <v>42705</v>
      </c>
      <c r="C20" s="21">
        <v>17404</v>
      </c>
    </row>
    <row r="21" spans="1:3" x14ac:dyDescent="0.25">
      <c r="A21">
        <v>20</v>
      </c>
      <c r="B21" s="2">
        <v>42795</v>
      </c>
      <c r="C21" s="21">
        <v>17697</v>
      </c>
    </row>
    <row r="22" spans="1:3" x14ac:dyDescent="0.25">
      <c r="A22">
        <v>21</v>
      </c>
      <c r="B22" s="2">
        <v>42887</v>
      </c>
      <c r="C22" s="21">
        <v>19301</v>
      </c>
    </row>
    <row r="23" spans="1:3" x14ac:dyDescent="0.25">
      <c r="A23">
        <v>22</v>
      </c>
      <c r="B23" s="2">
        <v>42979</v>
      </c>
      <c r="C23" s="21">
        <v>19440</v>
      </c>
    </row>
    <row r="24" spans="1:3" x14ac:dyDescent="0.25">
      <c r="A24">
        <v>23</v>
      </c>
      <c r="B24" s="2">
        <v>43070</v>
      </c>
      <c r="C24" s="21">
        <v>19490</v>
      </c>
    </row>
    <row r="25" spans="1:3" x14ac:dyDescent="0.25">
      <c r="A25">
        <v>24</v>
      </c>
      <c r="B25" s="2">
        <v>43160</v>
      </c>
      <c r="C25" s="21">
        <v>19822</v>
      </c>
    </row>
    <row r="26" spans="1:3" x14ac:dyDescent="0.25">
      <c r="A26">
        <v>25</v>
      </c>
      <c r="B26" s="2">
        <v>43252</v>
      </c>
      <c r="C26" s="21">
        <v>20291</v>
      </c>
    </row>
    <row r="27" spans="1:3" x14ac:dyDescent="0.25">
      <c r="A27">
        <v>26</v>
      </c>
      <c r="B27" s="2">
        <v>43344</v>
      </c>
      <c r="C27" s="21">
        <v>19956</v>
      </c>
    </row>
    <row r="28" spans="1:3" x14ac:dyDescent="0.25">
      <c r="A28">
        <v>27</v>
      </c>
      <c r="B28" s="2">
        <v>43435</v>
      </c>
      <c r="C28" s="21">
        <v>20658</v>
      </c>
    </row>
    <row r="29" spans="1:3" x14ac:dyDescent="0.25">
      <c r="A29">
        <v>28</v>
      </c>
      <c r="B29" s="2">
        <v>43525</v>
      </c>
      <c r="C29" s="21">
        <v>21914</v>
      </c>
    </row>
    <row r="30" spans="1:3" x14ac:dyDescent="0.25">
      <c r="A30">
        <v>29</v>
      </c>
      <c r="B30" s="2">
        <v>43617</v>
      </c>
      <c r="C30" s="21">
        <v>21550</v>
      </c>
    </row>
    <row r="31" spans="1:3" x14ac:dyDescent="0.25">
      <c r="A31">
        <v>30</v>
      </c>
      <c r="B31" s="2">
        <v>43709</v>
      </c>
      <c r="C31" s="21">
        <v>20840</v>
      </c>
    </row>
    <row r="32" spans="1:3" x14ac:dyDescent="0.25">
      <c r="A32">
        <v>31</v>
      </c>
      <c r="B32" s="2">
        <v>43800</v>
      </c>
      <c r="C32" s="21">
        <v>21739</v>
      </c>
    </row>
    <row r="33" spans="1:3" x14ac:dyDescent="0.25">
      <c r="A33">
        <v>32</v>
      </c>
      <c r="B33" s="2">
        <v>43891</v>
      </c>
      <c r="C33" s="21">
        <v>21998</v>
      </c>
    </row>
    <row r="34" spans="1:3" x14ac:dyDescent="0.25">
      <c r="A34">
        <v>33</v>
      </c>
      <c r="B34" s="2">
        <v>43983</v>
      </c>
      <c r="C34" s="21">
        <v>21870</v>
      </c>
    </row>
    <row r="35" spans="1:3" x14ac:dyDescent="0.25">
      <c r="A35">
        <v>34</v>
      </c>
      <c r="B35" s="2">
        <v>44075</v>
      </c>
      <c r="C35" s="21">
        <v>23310</v>
      </c>
    </row>
    <row r="36" spans="1:3" x14ac:dyDescent="0.25">
      <c r="A36">
        <v>35</v>
      </c>
      <c r="B36" s="2">
        <v>44166</v>
      </c>
      <c r="C36" s="21">
        <v>23953</v>
      </c>
    </row>
    <row r="37" spans="1:3" x14ac:dyDescent="0.25">
      <c r="A37">
        <v>36</v>
      </c>
      <c r="B37" s="2">
        <v>44256</v>
      </c>
      <c r="C37" s="21">
        <v>23787</v>
      </c>
    </row>
    <row r="38" spans="1:3" x14ac:dyDescent="0.25">
      <c r="A38">
        <v>37</v>
      </c>
      <c r="B38" s="2">
        <v>44348</v>
      </c>
      <c r="C38" s="21">
        <v>24520</v>
      </c>
    </row>
    <row r="39" spans="1:3" x14ac:dyDescent="0.25">
      <c r="B39" s="2"/>
      <c r="C39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FE30-1A82-49AC-AE32-6FB8264DACB5}">
  <dimension ref="A1:P40"/>
  <sheetViews>
    <sheetView topLeftCell="A21" workbookViewId="0">
      <selection activeCell="J1" sqref="J1:J2"/>
    </sheetView>
  </sheetViews>
  <sheetFormatPr defaultRowHeight="15" x14ac:dyDescent="0.25"/>
  <cols>
    <col min="2" max="2" width="9.7109375" bestFit="1" customWidth="1"/>
    <col min="3" max="3" width="15" style="1" bestFit="1" customWidth="1"/>
    <col min="4" max="4" width="9.5703125" bestFit="1" customWidth="1"/>
  </cols>
  <sheetData>
    <row r="1" spans="1:16" ht="30" x14ac:dyDescent="0.25">
      <c r="A1" s="4" t="s">
        <v>4</v>
      </c>
      <c r="B1" s="4" t="s">
        <v>0</v>
      </c>
      <c r="C1" s="3" t="s">
        <v>5</v>
      </c>
      <c r="D1" t="s">
        <v>9</v>
      </c>
      <c r="E1" t="s">
        <v>10</v>
      </c>
      <c r="F1" t="s">
        <v>12</v>
      </c>
      <c r="I1" t="s">
        <v>13</v>
      </c>
      <c r="J1" s="21">
        <v>0.95430144392413752</v>
      </c>
    </row>
    <row r="2" spans="1:16" x14ac:dyDescent="0.25">
      <c r="A2">
        <v>1</v>
      </c>
      <c r="B2" s="2">
        <v>41061</v>
      </c>
      <c r="C2" s="21">
        <v>15627</v>
      </c>
      <c r="D2" s="21">
        <v>15627</v>
      </c>
      <c r="E2" s="21">
        <f>C3-C2</f>
        <v>-700</v>
      </c>
      <c r="I2" t="s">
        <v>16</v>
      </c>
      <c r="J2" s="21">
        <v>0.18491445570235687</v>
      </c>
      <c r="N2" t="s">
        <v>1</v>
      </c>
      <c r="O2" t="s">
        <v>25</v>
      </c>
      <c r="P2" t="s">
        <v>26</v>
      </c>
    </row>
    <row r="3" spans="1:16" x14ac:dyDescent="0.25">
      <c r="A3">
        <v>2</v>
      </c>
      <c r="B3" s="2">
        <v>41153</v>
      </c>
      <c r="C3" s="21">
        <v>14927</v>
      </c>
      <c r="D3" s="21">
        <f>$J$1*C3+(1-$J$1)*(D2+E2)</f>
        <v>14927</v>
      </c>
      <c r="E3" s="21">
        <f>$J$2*(D3-D2)+(1-$J$2)*(E2)</f>
        <v>-700</v>
      </c>
      <c r="F3" s="21">
        <f>D2+E2</f>
        <v>14927</v>
      </c>
      <c r="N3" s="21"/>
    </row>
    <row r="4" spans="1:16" x14ac:dyDescent="0.25">
      <c r="A4">
        <v>3</v>
      </c>
      <c r="B4" s="2">
        <v>41244</v>
      </c>
      <c r="C4" s="21">
        <v>15407</v>
      </c>
      <c r="D4" s="21">
        <f t="shared" ref="D4:D38" si="0">$J$1*C4+(1-$J$1)*(D3+E3)</f>
        <v>15353.075703830482</v>
      </c>
      <c r="E4" s="21">
        <f t="shared" ref="E4:E39" si="1">$J$2*(D4-D3)+(1-$J$2)*(E3)</f>
        <v>-491.77232414653804</v>
      </c>
      <c r="F4" s="21">
        <f t="shared" ref="F4:F40" si="2">D3+E3</f>
        <v>14227</v>
      </c>
      <c r="N4" s="21">
        <f t="shared" ref="N4:N38" si="3">C4-F4</f>
        <v>1180</v>
      </c>
      <c r="O4">
        <f t="shared" ref="O4:O38" si="4">ABS(N4)</f>
        <v>1180</v>
      </c>
      <c r="P4">
        <f t="shared" ref="P4:P38" si="5">N4*N4</f>
        <v>1392400</v>
      </c>
    </row>
    <row r="5" spans="1:16" x14ac:dyDescent="0.25">
      <c r="A5">
        <v>4</v>
      </c>
      <c r="B5" s="2">
        <v>41334</v>
      </c>
      <c r="C5" s="21">
        <v>15568</v>
      </c>
      <c r="D5" s="21">
        <f t="shared" si="0"/>
        <v>15535.704984867865</v>
      </c>
      <c r="E5" s="21">
        <f t="shared" si="1"/>
        <v>-367.06571839915745</v>
      </c>
      <c r="F5" s="21">
        <f t="shared" si="2"/>
        <v>14861.303379683945</v>
      </c>
      <c r="N5" s="21">
        <f t="shared" si="3"/>
        <v>706.69662031605549</v>
      </c>
      <c r="O5">
        <f t="shared" si="4"/>
        <v>706.69662031605549</v>
      </c>
      <c r="P5">
        <f t="shared" si="5"/>
        <v>499420.1131661351</v>
      </c>
    </row>
    <row r="6" spans="1:16" x14ac:dyDescent="0.25">
      <c r="A6">
        <v>5</v>
      </c>
      <c r="B6" s="2">
        <v>41426</v>
      </c>
      <c r="C6" s="21">
        <v>15655</v>
      </c>
      <c r="D6" s="21">
        <f t="shared" si="0"/>
        <v>15632.774016745621</v>
      </c>
      <c r="E6" s="21">
        <f t="shared" si="1"/>
        <v>-281.24049367915262</v>
      </c>
      <c r="F6" s="21">
        <f t="shared" si="2"/>
        <v>15168.639266468708</v>
      </c>
      <c r="N6" s="21">
        <f t="shared" si="3"/>
        <v>486.36073353129177</v>
      </c>
      <c r="O6">
        <f t="shared" si="4"/>
        <v>486.36073353129177</v>
      </c>
      <c r="P6">
        <f t="shared" si="5"/>
        <v>236546.76312109621</v>
      </c>
    </row>
    <row r="7" spans="1:16" x14ac:dyDescent="0.25">
      <c r="A7">
        <v>6</v>
      </c>
      <c r="B7" s="2">
        <v>41518</v>
      </c>
      <c r="C7" s="21">
        <v>16503</v>
      </c>
      <c r="D7" s="21">
        <f t="shared" si="0"/>
        <v>16450.379644634377</v>
      </c>
      <c r="E7" s="21">
        <f t="shared" si="1"/>
        <v>-78.047961208777025</v>
      </c>
      <c r="F7" s="21">
        <f t="shared" si="2"/>
        <v>15351.53352306647</v>
      </c>
      <c r="N7" s="21">
        <f t="shared" si="3"/>
        <v>1151.4664769335304</v>
      </c>
      <c r="O7">
        <f t="shared" si="4"/>
        <v>1151.4664769335304</v>
      </c>
      <c r="P7">
        <f t="shared" si="5"/>
        <v>1325875.0475017165</v>
      </c>
    </row>
    <row r="8" spans="1:16" x14ac:dyDescent="0.25">
      <c r="A8">
        <v>7</v>
      </c>
      <c r="B8" s="2">
        <v>41609</v>
      </c>
      <c r="C8" s="21">
        <v>17041</v>
      </c>
      <c r="D8" s="21">
        <f t="shared" si="0"/>
        <v>17010.442823438872</v>
      </c>
      <c r="E8" s="21">
        <f t="shared" si="1"/>
        <v>39.948012924387733</v>
      </c>
      <c r="F8" s="21">
        <f t="shared" si="2"/>
        <v>16372.3316834256</v>
      </c>
      <c r="N8" s="21">
        <f t="shared" si="3"/>
        <v>668.6683165743998</v>
      </c>
      <c r="O8">
        <f t="shared" si="4"/>
        <v>668.6683165743998</v>
      </c>
      <c r="P8">
        <f t="shared" si="5"/>
        <v>447117.31759044173</v>
      </c>
    </row>
    <row r="9" spans="1:16" x14ac:dyDescent="0.25">
      <c r="A9">
        <v>8</v>
      </c>
      <c r="B9" s="2">
        <v>41699</v>
      </c>
      <c r="C9" s="21">
        <v>16853</v>
      </c>
      <c r="D9" s="21">
        <f t="shared" si="0"/>
        <v>16862.020476204409</v>
      </c>
      <c r="E9" s="21">
        <f t="shared" si="1"/>
        <v>5.1156103051567712</v>
      </c>
      <c r="F9" s="21">
        <f t="shared" si="2"/>
        <v>17050.390836363262</v>
      </c>
      <c r="N9" s="21">
        <f t="shared" si="3"/>
        <v>-197.39083636326177</v>
      </c>
      <c r="O9">
        <f t="shared" si="4"/>
        <v>197.39083636326177</v>
      </c>
      <c r="P9">
        <f t="shared" si="5"/>
        <v>38963.142280187982</v>
      </c>
    </row>
    <row r="10" spans="1:16" x14ac:dyDescent="0.25">
      <c r="A10">
        <v>9</v>
      </c>
      <c r="B10" s="2">
        <v>41791</v>
      </c>
      <c r="C10" s="21">
        <v>17374</v>
      </c>
      <c r="D10" s="21">
        <f t="shared" si="0"/>
        <v>17350.837051026527</v>
      </c>
      <c r="E10" s="21">
        <f t="shared" si="1"/>
        <v>94.558910881515715</v>
      </c>
      <c r="F10" s="21">
        <f t="shared" si="2"/>
        <v>16867.136086509567</v>
      </c>
      <c r="N10" s="21">
        <f t="shared" si="3"/>
        <v>506.86391349043333</v>
      </c>
      <c r="O10">
        <f t="shared" si="4"/>
        <v>506.86391349043333</v>
      </c>
      <c r="P10">
        <f t="shared" si="5"/>
        <v>256911.0267988375</v>
      </c>
    </row>
    <row r="11" spans="1:16" x14ac:dyDescent="0.25">
      <c r="A11">
        <v>10</v>
      </c>
      <c r="B11" s="2">
        <v>41883</v>
      </c>
      <c r="C11" s="21">
        <v>17386</v>
      </c>
      <c r="D11" s="21">
        <f t="shared" si="0"/>
        <v>17388.714309695933</v>
      </c>
      <c r="E11" s="21">
        <f t="shared" si="1"/>
        <v>84.077654014403279</v>
      </c>
      <c r="F11" s="21">
        <f t="shared" si="2"/>
        <v>17445.395961908041</v>
      </c>
      <c r="N11" s="21">
        <f t="shared" si="3"/>
        <v>-59.3959619080415</v>
      </c>
      <c r="O11">
        <f t="shared" si="4"/>
        <v>59.3959619080415</v>
      </c>
      <c r="P11">
        <f t="shared" si="5"/>
        <v>3527.8802909815167</v>
      </c>
    </row>
    <row r="12" spans="1:16" x14ac:dyDescent="0.25">
      <c r="A12">
        <v>11</v>
      </c>
      <c r="B12" s="2">
        <v>41974</v>
      </c>
      <c r="C12" s="21">
        <v>16220</v>
      </c>
      <c r="D12" s="21">
        <f t="shared" si="0"/>
        <v>16277.250783805008</v>
      </c>
      <c r="E12" s="21">
        <f t="shared" si="1"/>
        <v>-136.99519253754414</v>
      </c>
      <c r="F12" s="21">
        <f t="shared" si="2"/>
        <v>17472.791963710337</v>
      </c>
      <c r="N12" s="21">
        <f t="shared" si="3"/>
        <v>-1252.7919637103369</v>
      </c>
      <c r="O12">
        <f t="shared" si="4"/>
        <v>1252.7919637103369</v>
      </c>
      <c r="P12">
        <f t="shared" si="5"/>
        <v>1569487.704337202</v>
      </c>
    </row>
    <row r="13" spans="1:16" x14ac:dyDescent="0.25">
      <c r="A13">
        <v>12</v>
      </c>
      <c r="B13" s="2">
        <v>42064</v>
      </c>
      <c r="C13" s="21">
        <v>16380</v>
      </c>
      <c r="D13" s="21">
        <f t="shared" si="0"/>
        <v>16369.044026693662</v>
      </c>
      <c r="E13" s="21">
        <f t="shared" si="1"/>
        <v>-94.688903529714835</v>
      </c>
      <c r="F13" s="21">
        <f t="shared" si="2"/>
        <v>16140.255591267463</v>
      </c>
      <c r="N13" s="21">
        <f t="shared" si="3"/>
        <v>239.74440873253661</v>
      </c>
      <c r="O13">
        <f t="shared" si="4"/>
        <v>239.74440873253661</v>
      </c>
      <c r="P13">
        <f t="shared" si="5"/>
        <v>57477.381518513575</v>
      </c>
    </row>
    <row r="14" spans="1:16" x14ac:dyDescent="0.25">
      <c r="A14">
        <v>13</v>
      </c>
      <c r="B14" s="2">
        <v>42156</v>
      </c>
      <c r="C14" s="21">
        <v>16578</v>
      </c>
      <c r="D14" s="21">
        <f t="shared" si="0"/>
        <v>16564.12386756876</v>
      </c>
      <c r="E14" s="21">
        <f t="shared" si="1"/>
        <v>-41.106473878543511</v>
      </c>
      <c r="F14" s="21">
        <f t="shared" si="2"/>
        <v>16274.355123163947</v>
      </c>
      <c r="N14" s="21">
        <f t="shared" si="3"/>
        <v>303.6448768360533</v>
      </c>
      <c r="O14">
        <f t="shared" si="4"/>
        <v>303.6448768360533</v>
      </c>
      <c r="P14">
        <f t="shared" si="5"/>
        <v>92200.211228781976</v>
      </c>
    </row>
    <row r="15" spans="1:16" x14ac:dyDescent="0.25">
      <c r="A15">
        <v>14</v>
      </c>
      <c r="B15" s="2">
        <v>42248</v>
      </c>
      <c r="C15" s="21">
        <v>16938</v>
      </c>
      <c r="D15" s="21">
        <f t="shared" si="0"/>
        <v>16919.035894095043</v>
      </c>
      <c r="E15" s="21">
        <f t="shared" si="1"/>
        <v>32.123071571878533</v>
      </c>
      <c r="F15" s="21">
        <f t="shared" si="2"/>
        <v>16523.017393690217</v>
      </c>
      <c r="N15" s="21">
        <f t="shared" si="3"/>
        <v>414.98260630978257</v>
      </c>
      <c r="O15">
        <f t="shared" si="4"/>
        <v>414.98260630978257</v>
      </c>
      <c r="P15">
        <f t="shared" si="5"/>
        <v>172210.56353965998</v>
      </c>
    </row>
    <row r="16" spans="1:16" x14ac:dyDescent="0.25">
      <c r="A16">
        <v>15</v>
      </c>
      <c r="B16" s="2">
        <v>42339</v>
      </c>
      <c r="C16" s="21">
        <v>18047</v>
      </c>
      <c r="D16" s="21">
        <f t="shared" si="0"/>
        <v>17996.921647042298</v>
      </c>
      <c r="E16" s="21">
        <f t="shared" si="1"/>
        <v>225.49970859224356</v>
      </c>
      <c r="F16" s="21">
        <f t="shared" si="2"/>
        <v>16951.15896566692</v>
      </c>
      <c r="N16" s="21">
        <f t="shared" si="3"/>
        <v>1095.8410343330797</v>
      </c>
      <c r="O16">
        <f t="shared" si="4"/>
        <v>1095.8410343330797</v>
      </c>
      <c r="P16">
        <f t="shared" si="5"/>
        <v>1200867.5725281939</v>
      </c>
    </row>
    <row r="17" spans="1:16" x14ac:dyDescent="0.25">
      <c r="A17">
        <v>16</v>
      </c>
      <c r="B17" s="2">
        <v>42430</v>
      </c>
      <c r="C17" s="21">
        <v>17569</v>
      </c>
      <c r="D17" s="21">
        <f t="shared" si="0"/>
        <v>17598.860412461632</v>
      </c>
      <c r="E17" s="21">
        <f t="shared" si="1"/>
        <v>110.19427618817676</v>
      </c>
      <c r="F17" s="21">
        <f t="shared" si="2"/>
        <v>18222.421355634542</v>
      </c>
      <c r="N17" s="21">
        <f t="shared" si="3"/>
        <v>-653.42135563454212</v>
      </c>
      <c r="O17">
        <f t="shared" si="4"/>
        <v>653.42135563454212</v>
      </c>
      <c r="P17">
        <f t="shared" si="5"/>
        <v>426959.46799928276</v>
      </c>
    </row>
    <row r="18" spans="1:16" x14ac:dyDescent="0.25">
      <c r="A18">
        <v>17</v>
      </c>
      <c r="B18" s="2">
        <v>42522</v>
      </c>
      <c r="C18" s="21">
        <v>18533</v>
      </c>
      <c r="D18" s="21">
        <f t="shared" si="0"/>
        <v>18495.34688898582</v>
      </c>
      <c r="E18" s="21">
        <f t="shared" si="1"/>
        <v>255.59107043631872</v>
      </c>
      <c r="F18" s="21">
        <f t="shared" si="2"/>
        <v>17709.054688649809</v>
      </c>
      <c r="N18" s="21">
        <f t="shared" si="3"/>
        <v>823.94531135019133</v>
      </c>
      <c r="O18">
        <f t="shared" si="4"/>
        <v>823.94531135019133</v>
      </c>
      <c r="P18">
        <f t="shared" si="5"/>
        <v>678885.87609596376</v>
      </c>
    </row>
    <row r="19" spans="1:16" x14ac:dyDescent="0.25">
      <c r="A19">
        <v>18</v>
      </c>
      <c r="B19" s="2">
        <v>42614</v>
      </c>
      <c r="C19" s="21">
        <v>17877</v>
      </c>
      <c r="D19" s="21">
        <f t="shared" si="0"/>
        <v>17916.937702845476</v>
      </c>
      <c r="E19" s="21">
        <f t="shared" si="1"/>
        <v>101.37236693581933</v>
      </c>
      <c r="F19" s="21">
        <f t="shared" si="2"/>
        <v>18750.937959422139</v>
      </c>
      <c r="N19" s="21">
        <f t="shared" si="3"/>
        <v>-873.9379594221391</v>
      </c>
      <c r="O19">
        <f t="shared" si="4"/>
        <v>873.9379594221391</v>
      </c>
      <c r="P19">
        <f t="shared" si="5"/>
        <v>763767.55691893247</v>
      </c>
    </row>
    <row r="20" spans="1:16" x14ac:dyDescent="0.25">
      <c r="A20">
        <v>19</v>
      </c>
      <c r="B20" s="2">
        <v>42705</v>
      </c>
      <c r="C20" s="21">
        <v>17404</v>
      </c>
      <c r="D20" s="21">
        <f t="shared" si="0"/>
        <v>17432.073083171868</v>
      </c>
      <c r="E20" s="21">
        <f t="shared" si="1"/>
        <v>-7.0313263556528227</v>
      </c>
      <c r="F20" s="21">
        <f t="shared" si="2"/>
        <v>18018.310069781295</v>
      </c>
      <c r="N20" s="21">
        <f t="shared" si="3"/>
        <v>-614.31006978129517</v>
      </c>
      <c r="O20">
        <f t="shared" si="4"/>
        <v>614.31006978129517</v>
      </c>
      <c r="P20">
        <f t="shared" si="5"/>
        <v>377376.86183469975</v>
      </c>
    </row>
    <row r="21" spans="1:16" x14ac:dyDescent="0.25">
      <c r="A21">
        <v>20</v>
      </c>
      <c r="B21" s="2">
        <v>42795</v>
      </c>
      <c r="C21" s="21">
        <v>17697</v>
      </c>
      <c r="D21" s="21">
        <f t="shared" si="0"/>
        <v>17684.571900973573</v>
      </c>
      <c r="E21" s="21">
        <f t="shared" si="1"/>
        <v>40.959548989559167</v>
      </c>
      <c r="F21" s="21">
        <f t="shared" si="2"/>
        <v>17425.041756816216</v>
      </c>
      <c r="N21" s="21">
        <f t="shared" si="3"/>
        <v>271.95824318378436</v>
      </c>
      <c r="O21">
        <f t="shared" si="4"/>
        <v>271.95824318378436</v>
      </c>
      <c r="P21">
        <f t="shared" si="5"/>
        <v>73961.286035610392</v>
      </c>
    </row>
    <row r="22" spans="1:16" x14ac:dyDescent="0.25">
      <c r="A22">
        <v>21</v>
      </c>
      <c r="B22" s="2">
        <v>42887</v>
      </c>
      <c r="C22" s="21">
        <v>19301</v>
      </c>
      <c r="D22" s="21">
        <f t="shared" si="0"/>
        <v>19229.003362120384</v>
      </c>
      <c r="E22" s="21">
        <f t="shared" si="1"/>
        <v>318.97323928989903</v>
      </c>
      <c r="F22" s="21">
        <f t="shared" si="2"/>
        <v>17725.531449963131</v>
      </c>
      <c r="N22" s="21">
        <f t="shared" si="3"/>
        <v>1575.4685500368687</v>
      </c>
      <c r="O22">
        <f t="shared" si="4"/>
        <v>1575.4685500368687</v>
      </c>
      <c r="P22">
        <f t="shared" si="5"/>
        <v>2482101.1521552736</v>
      </c>
    </row>
    <row r="23" spans="1:16" x14ac:dyDescent="0.25">
      <c r="A23">
        <v>22</v>
      </c>
      <c r="B23" s="2">
        <v>42979</v>
      </c>
      <c r="C23" s="21">
        <v>19440</v>
      </c>
      <c r="D23" s="21">
        <f t="shared" si="0"/>
        <v>19444.934374774428</v>
      </c>
      <c r="E23" s="21">
        <f t="shared" si="1"/>
        <v>299.91924203717105</v>
      </c>
      <c r="F23" s="21">
        <f t="shared" si="2"/>
        <v>19547.976601410282</v>
      </c>
      <c r="N23" s="21">
        <f t="shared" si="3"/>
        <v>-107.97660141028246</v>
      </c>
      <c r="O23">
        <f t="shared" si="4"/>
        <v>107.97660141028246</v>
      </c>
      <c r="P23">
        <f t="shared" si="5"/>
        <v>11658.946452115011</v>
      </c>
    </row>
    <row r="24" spans="1:16" x14ac:dyDescent="0.25">
      <c r="A24">
        <v>23</v>
      </c>
      <c r="B24" s="2">
        <v>43070</v>
      </c>
      <c r="C24" s="21">
        <v>19490</v>
      </c>
      <c r="D24" s="21">
        <f t="shared" si="0"/>
        <v>19501.646442298999</v>
      </c>
      <c r="E24" s="21">
        <f t="shared" si="1"/>
        <v>254.94671973926557</v>
      </c>
      <c r="F24" s="21">
        <f t="shared" si="2"/>
        <v>19744.853616811601</v>
      </c>
      <c r="N24" s="21">
        <f t="shared" si="3"/>
        <v>-254.85361681160066</v>
      </c>
      <c r="O24">
        <f t="shared" si="4"/>
        <v>254.85361681160066</v>
      </c>
      <c r="P24">
        <f t="shared" si="5"/>
        <v>64950.366001954186</v>
      </c>
    </row>
    <row r="25" spans="1:16" x14ac:dyDescent="0.25">
      <c r="A25">
        <v>24</v>
      </c>
      <c r="B25" s="2">
        <v>43160</v>
      </c>
      <c r="C25" s="21">
        <v>19822</v>
      </c>
      <c r="D25" s="21">
        <f t="shared" si="0"/>
        <v>19819.01100194766</v>
      </c>
      <c r="E25" s="21">
        <f t="shared" si="1"/>
        <v>266.48868063222812</v>
      </c>
      <c r="F25" s="21">
        <f t="shared" si="2"/>
        <v>19756.593162038265</v>
      </c>
      <c r="N25" s="21">
        <f t="shared" si="3"/>
        <v>65.406837961734709</v>
      </c>
      <c r="O25">
        <f t="shared" si="4"/>
        <v>65.406837961734709</v>
      </c>
      <c r="P25">
        <f t="shared" si="5"/>
        <v>4278.0544521526208</v>
      </c>
    </row>
    <row r="26" spans="1:16" x14ac:dyDescent="0.25">
      <c r="A26">
        <v>25</v>
      </c>
      <c r="B26" s="2">
        <v>43252</v>
      </c>
      <c r="C26" s="21">
        <v>20291</v>
      </c>
      <c r="D26" s="21">
        <f t="shared" si="0"/>
        <v>20281.60893222077</v>
      </c>
      <c r="E26" s="21">
        <f t="shared" si="1"/>
        <v>302.75211578776947</v>
      </c>
      <c r="F26" s="21">
        <f t="shared" si="2"/>
        <v>20085.499682579888</v>
      </c>
      <c r="N26" s="21">
        <f t="shared" si="3"/>
        <v>205.50031742011197</v>
      </c>
      <c r="O26">
        <f t="shared" si="4"/>
        <v>205.50031742011197</v>
      </c>
      <c r="P26">
        <f t="shared" si="5"/>
        <v>42230.380459766777</v>
      </c>
    </row>
    <row r="27" spans="1:16" x14ac:dyDescent="0.25">
      <c r="A27">
        <v>26</v>
      </c>
      <c r="B27" s="2">
        <v>43344</v>
      </c>
      <c r="C27" s="21">
        <v>19956</v>
      </c>
      <c r="D27" s="21">
        <f t="shared" si="0"/>
        <v>19984.715192588304</v>
      </c>
      <c r="E27" s="21">
        <f t="shared" si="1"/>
        <v>191.86892881856255</v>
      </c>
      <c r="F27" s="21">
        <f t="shared" si="2"/>
        <v>20584.361048008541</v>
      </c>
      <c r="N27" s="21">
        <f t="shared" si="3"/>
        <v>-628.36104800854082</v>
      </c>
      <c r="O27">
        <f t="shared" si="4"/>
        <v>628.36104800854082</v>
      </c>
      <c r="P27">
        <f t="shared" si="5"/>
        <v>394837.60665439174</v>
      </c>
    </row>
    <row r="28" spans="1:16" x14ac:dyDescent="0.25">
      <c r="A28">
        <v>27</v>
      </c>
      <c r="B28" s="2">
        <v>43435</v>
      </c>
      <c r="C28" s="21">
        <v>20658</v>
      </c>
      <c r="D28" s="21">
        <f t="shared" si="0"/>
        <v>20635.999989476302</v>
      </c>
      <c r="E28" s="21">
        <f t="shared" si="1"/>
        <v>276.82156400364795</v>
      </c>
      <c r="F28" s="21">
        <f t="shared" si="2"/>
        <v>20176.584121406868</v>
      </c>
      <c r="N28" s="21">
        <f t="shared" si="3"/>
        <v>481.41587859313222</v>
      </c>
      <c r="O28">
        <f t="shared" si="4"/>
        <v>481.41587859313222</v>
      </c>
      <c r="P28">
        <f t="shared" si="5"/>
        <v>231761.24816159741</v>
      </c>
    </row>
    <row r="29" spans="1:16" x14ac:dyDescent="0.25">
      <c r="A29">
        <v>28</v>
      </c>
      <c r="B29" s="2">
        <v>43525</v>
      </c>
      <c r="C29" s="21">
        <v>21914</v>
      </c>
      <c r="D29" s="21">
        <f t="shared" si="0"/>
        <v>21868.247590619761</v>
      </c>
      <c r="E29" s="21">
        <f t="shared" si="1"/>
        <v>453.49364962521599</v>
      </c>
      <c r="F29" s="21">
        <f t="shared" si="2"/>
        <v>20912.821553479949</v>
      </c>
      <c r="N29" s="21">
        <f t="shared" si="3"/>
        <v>1001.1784465200508</v>
      </c>
      <c r="O29">
        <f t="shared" si="4"/>
        <v>1001.1784465200508</v>
      </c>
      <c r="P29">
        <f t="shared" si="5"/>
        <v>1002358.2817763021</v>
      </c>
    </row>
    <row r="30" spans="1:16" x14ac:dyDescent="0.25">
      <c r="A30">
        <v>29</v>
      </c>
      <c r="B30" s="2">
        <v>43617</v>
      </c>
      <c r="C30" s="21">
        <v>21550</v>
      </c>
      <c r="D30" s="21">
        <f t="shared" si="0"/>
        <v>21585.267460343392</v>
      </c>
      <c r="E30" s="21">
        <f t="shared" si="1"/>
        <v>317.30900147565688</v>
      </c>
      <c r="F30" s="21">
        <f t="shared" si="2"/>
        <v>22321.741240244977</v>
      </c>
      <c r="N30" s="21">
        <f t="shared" si="3"/>
        <v>-771.74124024497723</v>
      </c>
      <c r="O30">
        <f t="shared" si="4"/>
        <v>771.74124024497723</v>
      </c>
      <c r="P30">
        <f t="shared" si="5"/>
        <v>595584.54189485568</v>
      </c>
    </row>
    <row r="31" spans="1:16" x14ac:dyDescent="0.25">
      <c r="A31">
        <v>30</v>
      </c>
      <c r="B31" s="2">
        <v>43709</v>
      </c>
      <c r="C31" s="21">
        <v>20840</v>
      </c>
      <c r="D31" s="21">
        <f t="shared" si="0"/>
        <v>20888.558210025327</v>
      </c>
      <c r="E31" s="21">
        <f t="shared" si="1"/>
        <v>129.80236837296536</v>
      </c>
      <c r="F31" s="21">
        <f t="shared" si="2"/>
        <v>21902.576461819048</v>
      </c>
      <c r="N31" s="21">
        <f t="shared" si="3"/>
        <v>-1062.5764618190478</v>
      </c>
      <c r="O31">
        <f t="shared" si="4"/>
        <v>1062.5764618190478</v>
      </c>
      <c r="P31">
        <f t="shared" si="5"/>
        <v>1129068.7372118863</v>
      </c>
    </row>
    <row r="32" spans="1:16" x14ac:dyDescent="0.25">
      <c r="A32">
        <v>31</v>
      </c>
      <c r="B32" s="2">
        <v>43800</v>
      </c>
      <c r="C32" s="21">
        <v>21739</v>
      </c>
      <c r="D32" s="21">
        <f t="shared" si="0"/>
        <v>21706.067818981457</v>
      </c>
      <c r="E32" s="21">
        <f t="shared" si="1"/>
        <v>256.96937844797105</v>
      </c>
      <c r="F32" s="21">
        <f t="shared" si="2"/>
        <v>21018.360578398293</v>
      </c>
      <c r="N32" s="21">
        <f t="shared" si="3"/>
        <v>720.639421601707</v>
      </c>
      <c r="O32">
        <f t="shared" si="4"/>
        <v>720.639421601707</v>
      </c>
      <c r="P32">
        <f t="shared" si="5"/>
        <v>519321.1759664428</v>
      </c>
    </row>
    <row r="33" spans="1:16" x14ac:dyDescent="0.25">
      <c r="A33">
        <v>32</v>
      </c>
      <c r="B33" s="2">
        <v>43891</v>
      </c>
      <c r="C33" s="21">
        <v>21998</v>
      </c>
      <c r="D33" s="21">
        <f t="shared" si="0"/>
        <v>21996.402250406161</v>
      </c>
      <c r="E33" s="21">
        <f t="shared" si="1"/>
        <v>263.13905905864397</v>
      </c>
      <c r="F33" s="21">
        <f t="shared" si="2"/>
        <v>21963.037197429428</v>
      </c>
      <c r="N33" s="21">
        <f t="shared" si="3"/>
        <v>34.962802570571512</v>
      </c>
      <c r="O33">
        <f t="shared" si="4"/>
        <v>34.962802570571512</v>
      </c>
      <c r="P33">
        <f t="shared" si="5"/>
        <v>1222.3975635887618</v>
      </c>
    </row>
    <row r="34" spans="1:16" x14ac:dyDescent="0.25">
      <c r="A34">
        <v>33</v>
      </c>
      <c r="B34" s="2">
        <v>43983</v>
      </c>
      <c r="C34" s="21">
        <v>21870</v>
      </c>
      <c r="D34" s="21">
        <f t="shared" si="0"/>
        <v>21887.801475374439</v>
      </c>
      <c r="E34" s="21">
        <f t="shared" si="1"/>
        <v>194.39898997493947</v>
      </c>
      <c r="F34" s="21">
        <f t="shared" si="2"/>
        <v>22259.541309464807</v>
      </c>
      <c r="N34" s="21">
        <f t="shared" si="3"/>
        <v>-389.54130946480655</v>
      </c>
      <c r="O34">
        <f t="shared" si="4"/>
        <v>389.54130946480655</v>
      </c>
      <c r="P34">
        <f t="shared" si="5"/>
        <v>151742.43177955618</v>
      </c>
    </row>
    <row r="35" spans="1:16" x14ac:dyDescent="0.25">
      <c r="A35">
        <v>34</v>
      </c>
      <c r="B35" s="2">
        <v>44075</v>
      </c>
      <c r="C35" s="21">
        <v>23310</v>
      </c>
      <c r="D35" s="21">
        <f t="shared" si="0"/>
        <v>23253.891334115851</v>
      </c>
      <c r="E35" s="21">
        <f t="shared" si="1"/>
        <v>411.06156922431342</v>
      </c>
      <c r="F35" s="21">
        <f t="shared" si="2"/>
        <v>22082.200465349379</v>
      </c>
      <c r="N35" s="21">
        <f t="shared" si="3"/>
        <v>1227.7995346506214</v>
      </c>
      <c r="O35">
        <f t="shared" si="4"/>
        <v>1227.7995346506214</v>
      </c>
      <c r="P35">
        <f t="shared" si="5"/>
        <v>1507491.6972882824</v>
      </c>
    </row>
    <row r="36" spans="1:16" x14ac:dyDescent="0.25">
      <c r="A36">
        <v>35</v>
      </c>
      <c r="B36" s="2">
        <v>44166</v>
      </c>
      <c r="C36" s="21">
        <v>23953</v>
      </c>
      <c r="D36" s="21">
        <f t="shared" si="0"/>
        <v>23939.8366636008</v>
      </c>
      <c r="E36" s="21">
        <f t="shared" si="1"/>
        <v>461.89155013432583</v>
      </c>
      <c r="F36" s="21">
        <f t="shared" si="2"/>
        <v>23664.952903340163</v>
      </c>
      <c r="N36" s="21">
        <f t="shared" si="3"/>
        <v>288.04709665983682</v>
      </c>
      <c r="O36">
        <f t="shared" si="4"/>
        <v>288.04709665983682</v>
      </c>
      <c r="P36">
        <f t="shared" si="5"/>
        <v>82971.129894161379</v>
      </c>
    </row>
    <row r="37" spans="1:16" x14ac:dyDescent="0.25">
      <c r="A37">
        <v>36</v>
      </c>
      <c r="B37" s="2">
        <v>44256</v>
      </c>
      <c r="C37" s="21">
        <v>23787</v>
      </c>
      <c r="D37" s="21">
        <f t="shared" si="0"/>
        <v>23815.092191746789</v>
      </c>
      <c r="E37" s="21">
        <f t="shared" si="1"/>
        <v>353.41406943295686</v>
      </c>
      <c r="F37" s="21">
        <f t="shared" si="2"/>
        <v>24401.728213735125</v>
      </c>
      <c r="N37" s="21">
        <f t="shared" si="3"/>
        <v>-614.72821373512488</v>
      </c>
      <c r="O37">
        <f t="shared" si="4"/>
        <v>614.72821373512488</v>
      </c>
      <c r="P37">
        <f t="shared" si="5"/>
        <v>377890.77676197735</v>
      </c>
    </row>
    <row r="38" spans="1:16" x14ac:dyDescent="0.25">
      <c r="A38">
        <v>37</v>
      </c>
      <c r="B38" s="2">
        <v>44348</v>
      </c>
      <c r="C38" s="21">
        <v>24520</v>
      </c>
      <c r="D38" s="21">
        <f t="shared" si="0"/>
        <v>24503.937243666209</v>
      </c>
      <c r="E38" s="21">
        <f t="shared" si="1"/>
        <v>415.44010698514785</v>
      </c>
      <c r="F38" s="21">
        <f t="shared" si="2"/>
        <v>24168.506261179748</v>
      </c>
      <c r="N38" s="21">
        <f t="shared" si="3"/>
        <v>351.49373882025247</v>
      </c>
      <c r="O38">
        <f t="shared" si="4"/>
        <v>351.49373882025247</v>
      </c>
      <c r="P38">
        <f t="shared" si="5"/>
        <v>123547.84842983985</v>
      </c>
    </row>
    <row r="39" spans="1:16" x14ac:dyDescent="0.25">
      <c r="A39">
        <v>38</v>
      </c>
      <c r="B39" s="2">
        <v>44440</v>
      </c>
      <c r="C39" s="21"/>
      <c r="E39" s="21"/>
      <c r="F39" s="21">
        <f t="shared" si="2"/>
        <v>24919.377350651357</v>
      </c>
      <c r="O39" t="s">
        <v>2</v>
      </c>
      <c r="P39" t="s">
        <v>3</v>
      </c>
    </row>
    <row r="40" spans="1:16" x14ac:dyDescent="0.25">
      <c r="A40">
        <v>39</v>
      </c>
      <c r="B40" s="22">
        <v>44531</v>
      </c>
      <c r="F40" s="21">
        <f>D38+E38*2</f>
        <v>25334.817457636505</v>
      </c>
      <c r="O40">
        <f>AVERAGE(O4:O38)</f>
        <v>608.08890870685775</v>
      </c>
      <c r="P40">
        <f>AVERAGE(P4:P38)</f>
        <v>523913.50130543945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4982-FB5F-4F1C-8DFB-5082DCC583F7}">
  <dimension ref="A1:Q61"/>
  <sheetViews>
    <sheetView topLeftCell="A37" zoomScale="90" zoomScaleNormal="90" workbookViewId="0">
      <selection activeCell="I1" sqref="I1"/>
    </sheetView>
  </sheetViews>
  <sheetFormatPr defaultRowHeight="18.600000000000001" customHeight="1" x14ac:dyDescent="0.25"/>
  <cols>
    <col min="9" max="9" width="10.28515625" bestFit="1" customWidth="1"/>
    <col min="11" max="12" width="11.85546875" bestFit="1" customWidth="1"/>
    <col min="16" max="16" width="10.5703125" bestFit="1" customWidth="1"/>
  </cols>
  <sheetData>
    <row r="1" spans="1:17" ht="18.600000000000001" customHeight="1" x14ac:dyDescent="0.25">
      <c r="A1" s="5" t="s">
        <v>6</v>
      </c>
      <c r="B1" s="5" t="s">
        <v>7</v>
      </c>
      <c r="C1" s="5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9">
        <v>6.0095965792585256E-3</v>
      </c>
      <c r="J1" s="8" t="s">
        <v>1</v>
      </c>
      <c r="K1" s="8" t="s">
        <v>14</v>
      </c>
      <c r="L1" s="8" t="s">
        <v>15</v>
      </c>
    </row>
    <row r="2" spans="1:17" ht="18.600000000000001" customHeight="1" x14ac:dyDescent="0.25">
      <c r="A2">
        <v>1</v>
      </c>
      <c r="B2" s="6">
        <v>43040</v>
      </c>
      <c r="C2" s="7">
        <v>1100</v>
      </c>
      <c r="F2" s="10">
        <f t="shared" ref="F2:F12" si="0">C2/$D$13</f>
        <v>1.1379310344827587</v>
      </c>
      <c r="H2" s="8" t="s">
        <v>16</v>
      </c>
      <c r="I2" s="9">
        <v>1</v>
      </c>
      <c r="J2" s="11"/>
      <c r="O2" s="12" t="s">
        <v>17</v>
      </c>
      <c r="P2" s="12"/>
      <c r="Q2" s="12"/>
    </row>
    <row r="3" spans="1:17" ht="18.600000000000001" customHeight="1" x14ac:dyDescent="0.25">
      <c r="A3">
        <v>2</v>
      </c>
      <c r="B3" s="6">
        <v>43070</v>
      </c>
      <c r="C3" s="7">
        <v>1700</v>
      </c>
      <c r="F3" s="10">
        <f t="shared" si="0"/>
        <v>1.7586206896551724</v>
      </c>
      <c r="H3" s="13" t="s">
        <v>18</v>
      </c>
      <c r="I3" s="14">
        <v>6.2488501875320915E-2</v>
      </c>
      <c r="N3" s="15" t="s">
        <v>19</v>
      </c>
      <c r="O3" s="15" t="s">
        <v>20</v>
      </c>
      <c r="P3" s="15" t="s">
        <v>21</v>
      </c>
      <c r="Q3" s="15" t="s">
        <v>22</v>
      </c>
    </row>
    <row r="4" spans="1:17" ht="18.600000000000001" customHeight="1" x14ac:dyDescent="0.25">
      <c r="A4">
        <v>3</v>
      </c>
      <c r="B4" s="6">
        <v>43101</v>
      </c>
      <c r="C4" s="7">
        <v>1100</v>
      </c>
      <c r="F4" s="10">
        <f t="shared" si="0"/>
        <v>1.1379310344827587</v>
      </c>
      <c r="N4" s="16">
        <v>1100</v>
      </c>
      <c r="O4" s="16">
        <v>1300</v>
      </c>
      <c r="P4" s="17">
        <f>O4-N4</f>
        <v>200</v>
      </c>
      <c r="Q4">
        <f>P4/12</f>
        <v>16.666666666666668</v>
      </c>
    </row>
    <row r="5" spans="1:17" ht="18.600000000000001" customHeight="1" x14ac:dyDescent="0.25">
      <c r="A5">
        <v>4</v>
      </c>
      <c r="B5" s="6">
        <v>43132</v>
      </c>
      <c r="C5" s="7">
        <v>1100</v>
      </c>
      <c r="F5" s="10">
        <f t="shared" si="0"/>
        <v>1.1379310344827587</v>
      </c>
      <c r="N5" s="16">
        <v>1700</v>
      </c>
      <c r="O5" s="16">
        <v>1800</v>
      </c>
      <c r="P5">
        <f t="shared" ref="P5:P15" si="1">O5-N5</f>
        <v>100</v>
      </c>
      <c r="Q5">
        <f t="shared" ref="Q5:Q15" si="2">P5/12</f>
        <v>8.3333333333333339</v>
      </c>
    </row>
    <row r="6" spans="1:17" ht="18.600000000000001" customHeight="1" x14ac:dyDescent="0.25">
      <c r="A6">
        <v>5</v>
      </c>
      <c r="B6" s="6">
        <v>43160</v>
      </c>
      <c r="C6" s="7">
        <v>900</v>
      </c>
      <c r="F6" s="10">
        <f t="shared" si="0"/>
        <v>0.93103448275862077</v>
      </c>
      <c r="N6" s="16">
        <v>1100</v>
      </c>
      <c r="O6" s="16">
        <v>1100</v>
      </c>
      <c r="P6">
        <f t="shared" si="1"/>
        <v>0</v>
      </c>
      <c r="Q6">
        <f t="shared" si="2"/>
        <v>0</v>
      </c>
    </row>
    <row r="7" spans="1:17" ht="18.600000000000001" customHeight="1" x14ac:dyDescent="0.25">
      <c r="A7">
        <v>6</v>
      </c>
      <c r="B7" s="6">
        <v>43191</v>
      </c>
      <c r="C7" s="7">
        <v>800</v>
      </c>
      <c r="F7" s="10">
        <f t="shared" si="0"/>
        <v>0.82758620689655171</v>
      </c>
      <c r="N7" s="16">
        <v>1100</v>
      </c>
      <c r="O7" s="16">
        <v>1200</v>
      </c>
      <c r="P7">
        <f t="shared" si="1"/>
        <v>100</v>
      </c>
      <c r="Q7">
        <f t="shared" si="2"/>
        <v>8.3333333333333339</v>
      </c>
    </row>
    <row r="8" spans="1:17" ht="18.600000000000001" customHeight="1" x14ac:dyDescent="0.25">
      <c r="A8">
        <v>7</v>
      </c>
      <c r="B8" s="6">
        <v>43221</v>
      </c>
      <c r="C8" s="7">
        <v>700</v>
      </c>
      <c r="F8" s="10">
        <f t="shared" si="0"/>
        <v>0.72413793103448276</v>
      </c>
      <c r="N8" s="16">
        <v>900</v>
      </c>
      <c r="O8" s="16">
        <v>1100</v>
      </c>
      <c r="P8">
        <f t="shared" si="1"/>
        <v>200</v>
      </c>
      <c r="Q8">
        <f t="shared" si="2"/>
        <v>16.666666666666668</v>
      </c>
    </row>
    <row r="9" spans="1:17" ht="18.600000000000001" customHeight="1" x14ac:dyDescent="0.25">
      <c r="A9">
        <v>8</v>
      </c>
      <c r="B9" s="6">
        <v>43252</v>
      </c>
      <c r="C9" s="7">
        <v>900</v>
      </c>
      <c r="F9" s="10">
        <f t="shared" si="0"/>
        <v>0.93103448275862077</v>
      </c>
      <c r="N9" s="16">
        <v>800</v>
      </c>
      <c r="O9" s="16">
        <v>1000</v>
      </c>
      <c r="P9">
        <f t="shared" si="1"/>
        <v>200</v>
      </c>
      <c r="Q9">
        <f t="shared" si="2"/>
        <v>16.666666666666668</v>
      </c>
    </row>
    <row r="10" spans="1:17" ht="18.600000000000001" customHeight="1" x14ac:dyDescent="0.25">
      <c r="A10">
        <v>9</v>
      </c>
      <c r="B10" s="6">
        <v>43282</v>
      </c>
      <c r="C10" s="7">
        <v>900</v>
      </c>
      <c r="F10" s="10">
        <f t="shared" si="0"/>
        <v>0.93103448275862077</v>
      </c>
      <c r="N10" s="16">
        <v>700</v>
      </c>
      <c r="O10" s="16">
        <v>800</v>
      </c>
      <c r="P10">
        <f t="shared" si="1"/>
        <v>100</v>
      </c>
      <c r="Q10">
        <f t="shared" si="2"/>
        <v>8.3333333333333339</v>
      </c>
    </row>
    <row r="11" spans="1:17" ht="18.600000000000001" customHeight="1" x14ac:dyDescent="0.25">
      <c r="A11">
        <v>10</v>
      </c>
      <c r="B11" s="6">
        <v>43313</v>
      </c>
      <c r="C11" s="7">
        <v>800</v>
      </c>
      <c r="F11" s="10">
        <f t="shared" si="0"/>
        <v>0.82758620689655171</v>
      </c>
      <c r="N11" s="16">
        <v>900</v>
      </c>
      <c r="O11" s="16">
        <v>1200</v>
      </c>
      <c r="P11">
        <f t="shared" si="1"/>
        <v>300</v>
      </c>
      <c r="Q11">
        <f t="shared" si="2"/>
        <v>25</v>
      </c>
    </row>
    <row r="12" spans="1:17" ht="18.600000000000001" customHeight="1" x14ac:dyDescent="0.25">
      <c r="A12">
        <v>11</v>
      </c>
      <c r="B12" s="6">
        <v>43344</v>
      </c>
      <c r="C12" s="7">
        <v>800</v>
      </c>
      <c r="F12" s="10">
        <f t="shared" si="0"/>
        <v>0.82758620689655171</v>
      </c>
      <c r="N12" s="16">
        <v>900</v>
      </c>
      <c r="O12" s="16">
        <v>1100</v>
      </c>
      <c r="P12">
        <f t="shared" si="1"/>
        <v>200</v>
      </c>
      <c r="Q12">
        <f t="shared" si="2"/>
        <v>16.666666666666668</v>
      </c>
    </row>
    <row r="13" spans="1:17" ht="18.600000000000001" customHeight="1" x14ac:dyDescent="0.25">
      <c r="A13">
        <v>12</v>
      </c>
      <c r="B13" s="6">
        <v>43374</v>
      </c>
      <c r="C13" s="7">
        <v>800</v>
      </c>
      <c r="D13" s="23">
        <f>AVERAGE(C2:C13)</f>
        <v>966.66666666666663</v>
      </c>
      <c r="E13" s="24">
        <v>13</v>
      </c>
      <c r="F13" s="24">
        <f>C13/D13</f>
        <v>0.82758620689655171</v>
      </c>
      <c r="N13" s="16">
        <v>800</v>
      </c>
      <c r="O13" s="16">
        <v>900</v>
      </c>
      <c r="P13">
        <f t="shared" si="1"/>
        <v>100</v>
      </c>
      <c r="Q13">
        <f t="shared" si="2"/>
        <v>8.3333333333333339</v>
      </c>
    </row>
    <row r="14" spans="1:17" ht="18.600000000000001" customHeight="1" x14ac:dyDescent="0.25">
      <c r="A14">
        <v>13</v>
      </c>
      <c r="B14" s="6">
        <v>43405</v>
      </c>
      <c r="C14" s="7">
        <v>1300</v>
      </c>
      <c r="D14">
        <f>$I$1*(C14/F2)+(1-$I$1)*(D13+E13)</f>
        <v>980.64477403718786</v>
      </c>
      <c r="E14">
        <f>$I$2*(D14-D13)+(1-$I$2)*E13</f>
        <v>13.978107370521229</v>
      </c>
      <c r="F14">
        <f>$I$3*(C14/D14)+(1-$I$3)*F2</f>
        <v>1.1496618374543741</v>
      </c>
      <c r="G14">
        <f>(D13+E13)*F2</f>
        <v>1114.7931034482758</v>
      </c>
      <c r="N14" s="16">
        <v>800</v>
      </c>
      <c r="O14" s="16">
        <v>1000</v>
      </c>
      <c r="P14">
        <f t="shared" si="1"/>
        <v>200</v>
      </c>
      <c r="Q14">
        <f t="shared" si="2"/>
        <v>16.666666666666668</v>
      </c>
    </row>
    <row r="15" spans="1:17" ht="18.600000000000001" customHeight="1" x14ac:dyDescent="0.25">
      <c r="A15">
        <v>14</v>
      </c>
      <c r="B15" s="6">
        <v>43435</v>
      </c>
      <c r="C15" s="7">
        <v>1800</v>
      </c>
      <c r="D15">
        <f t="shared" ref="D15:D49" si="3">$I$1*(C15/F3)+(1-$I$1)*(D14+E14)</f>
        <v>994.79659799366073</v>
      </c>
      <c r="E15">
        <f t="shared" ref="E15:E49" si="4">$I$2*(D15-D14)+(1-$I$2)*E14</f>
        <v>14.151823956472867</v>
      </c>
      <c r="F15">
        <f t="shared" ref="F15:F49" si="5">$I$3*(C15/D15)+(1-$I$3)*F3</f>
        <v>1.7617947571508292</v>
      </c>
      <c r="G15">
        <f t="shared" ref="G15:G48" si="6">(D14+E14)*F3</f>
        <v>1749.16437764804</v>
      </c>
      <c r="J15">
        <f t="shared" ref="J15:J50" si="7">C14-G14</f>
        <v>185.20689655172418</v>
      </c>
      <c r="K15">
        <f t="shared" ref="K15:K50" si="8">ABS(J15)</f>
        <v>185.20689655172418</v>
      </c>
      <c r="L15">
        <f t="shared" ref="L15:L50" si="9">K15^2</f>
        <v>34301.594530321061</v>
      </c>
      <c r="N15" s="16">
        <v>800</v>
      </c>
      <c r="O15" s="16">
        <v>1000</v>
      </c>
      <c r="P15">
        <f t="shared" si="1"/>
        <v>200</v>
      </c>
      <c r="Q15">
        <f t="shared" si="2"/>
        <v>16.666666666666668</v>
      </c>
    </row>
    <row r="16" spans="1:17" ht="18.600000000000001" customHeight="1" x14ac:dyDescent="0.25">
      <c r="A16">
        <v>15</v>
      </c>
      <c r="B16" s="6">
        <v>43466</v>
      </c>
      <c r="C16" s="7">
        <v>1100</v>
      </c>
      <c r="D16">
        <f t="shared" si="3"/>
        <v>1008.6943256582171</v>
      </c>
      <c r="E16">
        <f t="shared" si="4"/>
        <v>13.897727664556328</v>
      </c>
      <c r="F16">
        <f t="shared" si="5"/>
        <v>1.1349683071994789</v>
      </c>
      <c r="G16">
        <f t="shared" si="6"/>
        <v>1148.1137215294625</v>
      </c>
      <c r="J16">
        <f t="shared" si="7"/>
        <v>50.835622351959955</v>
      </c>
      <c r="K16">
        <f t="shared" si="8"/>
        <v>50.835622351959955</v>
      </c>
      <c r="L16">
        <f t="shared" si="9"/>
        <v>2584.2604999110904</v>
      </c>
    </row>
    <row r="17" spans="1:17" ht="18.600000000000001" customHeight="1" x14ac:dyDescent="0.25">
      <c r="A17">
        <v>16</v>
      </c>
      <c r="B17" s="6">
        <v>43497</v>
      </c>
      <c r="C17" s="7">
        <v>1200</v>
      </c>
      <c r="D17">
        <f t="shared" si="3"/>
        <v>1022.784080373457</v>
      </c>
      <c r="E17">
        <f t="shared" si="4"/>
        <v>14.089754715239906</v>
      </c>
      <c r="F17">
        <f t="shared" si="5"/>
        <v>1.1401391987578111</v>
      </c>
      <c r="G17">
        <f t="shared" si="6"/>
        <v>1163.6392330914318</v>
      </c>
      <c r="J17">
        <f t="shared" si="7"/>
        <v>-48.113721529462509</v>
      </c>
      <c r="K17">
        <f t="shared" si="8"/>
        <v>48.113721529462509</v>
      </c>
      <c r="L17">
        <f t="shared" si="9"/>
        <v>2314.930199414664</v>
      </c>
      <c r="P17" s="18" t="s">
        <v>23</v>
      </c>
      <c r="Q17" s="12">
        <f>AVERAGE(Q4:Q15)</f>
        <v>13.194444444444443</v>
      </c>
    </row>
    <row r="18" spans="1:17" ht="18.600000000000001" customHeight="1" x14ac:dyDescent="0.25">
      <c r="A18">
        <v>17</v>
      </c>
      <c r="B18" s="6">
        <v>43525</v>
      </c>
      <c r="C18" s="7">
        <v>1100</v>
      </c>
      <c r="D18">
        <f t="shared" si="3"/>
        <v>1037.7428687057936</v>
      </c>
      <c r="E18">
        <f t="shared" si="4"/>
        <v>14.958788332336667</v>
      </c>
      <c r="F18">
        <f t="shared" si="5"/>
        <v>0.93909289666929985</v>
      </c>
      <c r="G18">
        <f t="shared" si="6"/>
        <v>965.36529473775249</v>
      </c>
      <c r="J18">
        <f t="shared" si="7"/>
        <v>36.360766908568166</v>
      </c>
      <c r="K18">
        <f t="shared" si="8"/>
        <v>36.360766908568166</v>
      </c>
      <c r="L18">
        <f t="shared" si="9"/>
        <v>1322.1053701792257</v>
      </c>
    </row>
    <row r="19" spans="1:17" ht="18.600000000000001" customHeight="1" x14ac:dyDescent="0.25">
      <c r="A19">
        <v>18</v>
      </c>
      <c r="B19" s="6">
        <v>43556</v>
      </c>
      <c r="C19" s="7">
        <v>1000</v>
      </c>
      <c r="D19">
        <f t="shared" si="3"/>
        <v>1053.6369406276181</v>
      </c>
      <c r="E19">
        <f t="shared" si="4"/>
        <v>15.894071921824434</v>
      </c>
      <c r="F19">
        <f t="shared" si="5"/>
        <v>0.83517901728734512</v>
      </c>
      <c r="G19">
        <f t="shared" si="6"/>
        <v>871.20137134190088</v>
      </c>
      <c r="J19">
        <f t="shared" si="7"/>
        <v>134.63470526224751</v>
      </c>
      <c r="K19">
        <f t="shared" si="8"/>
        <v>134.63470526224751</v>
      </c>
      <c r="L19">
        <f t="shared" si="9"/>
        <v>18126.503861052257</v>
      </c>
    </row>
    <row r="20" spans="1:17" ht="18.600000000000001" customHeight="1" x14ac:dyDescent="0.25">
      <c r="A20">
        <v>19</v>
      </c>
      <c r="B20" s="6">
        <v>43586</v>
      </c>
      <c r="C20" s="7">
        <v>800</v>
      </c>
      <c r="D20">
        <f t="shared" si="3"/>
        <v>1069.7427359987666</v>
      </c>
      <c r="E20">
        <f t="shared" si="4"/>
        <v>16.105795371148588</v>
      </c>
      <c r="F20">
        <f t="shared" si="5"/>
        <v>0.72561924765856556</v>
      </c>
      <c r="G20">
        <f t="shared" si="6"/>
        <v>774.48797460476874</v>
      </c>
      <c r="J20">
        <f t="shared" si="7"/>
        <v>128.79862865809912</v>
      </c>
      <c r="K20">
        <f t="shared" si="8"/>
        <v>128.79862865809912</v>
      </c>
      <c r="L20">
        <f t="shared" si="9"/>
        <v>16589.08674420691</v>
      </c>
    </row>
    <row r="21" spans="1:17" ht="18.600000000000001" customHeight="1" x14ac:dyDescent="0.25">
      <c r="A21">
        <v>20</v>
      </c>
      <c r="B21" s="6">
        <v>43617</v>
      </c>
      <c r="C21" s="7">
        <v>1200</v>
      </c>
      <c r="D21">
        <f t="shared" si="3"/>
        <v>1087.0687220079126</v>
      </c>
      <c r="E21">
        <f t="shared" si="4"/>
        <v>17.325986009145936</v>
      </c>
      <c r="F21">
        <f t="shared" si="5"/>
        <v>0.94183571837938429</v>
      </c>
      <c r="G21">
        <f t="shared" si="6"/>
        <v>1010.962425758197</v>
      </c>
      <c r="J21">
        <f t="shared" si="7"/>
        <v>25.512025395231262</v>
      </c>
      <c r="K21">
        <f t="shared" si="8"/>
        <v>25.512025395231262</v>
      </c>
      <c r="L21">
        <f t="shared" si="9"/>
        <v>650.8634397669249</v>
      </c>
    </row>
    <row r="22" spans="1:17" ht="18.600000000000001" customHeight="1" x14ac:dyDescent="0.25">
      <c r="A22">
        <v>21</v>
      </c>
      <c r="B22" s="6">
        <v>43647</v>
      </c>
      <c r="C22" s="7">
        <v>1100</v>
      </c>
      <c r="D22">
        <f t="shared" si="3"/>
        <v>1104.8579684271763</v>
      </c>
      <c r="E22">
        <f t="shared" si="4"/>
        <v>17.789246419263691</v>
      </c>
      <c r="F22">
        <f t="shared" si="5"/>
        <v>0.93506927787607008</v>
      </c>
      <c r="G22">
        <f t="shared" si="6"/>
        <v>1028.22955574002</v>
      </c>
      <c r="J22">
        <f t="shared" si="7"/>
        <v>189.03757424180299</v>
      </c>
      <c r="K22">
        <f t="shared" si="8"/>
        <v>189.03757424180299</v>
      </c>
      <c r="L22">
        <f t="shared" si="9"/>
        <v>35735.204475225175</v>
      </c>
    </row>
    <row r="23" spans="1:17" ht="18.600000000000001" customHeight="1" x14ac:dyDescent="0.25">
      <c r="A23">
        <v>22</v>
      </c>
      <c r="B23" s="6">
        <v>43678</v>
      </c>
      <c r="C23" s="7">
        <v>900</v>
      </c>
      <c r="D23">
        <f t="shared" si="3"/>
        <v>1122.4359942643284</v>
      </c>
      <c r="E23">
        <f t="shared" si="4"/>
        <v>17.578025837152154</v>
      </c>
      <c r="F23">
        <f t="shared" si="5"/>
        <v>0.82597658126511408</v>
      </c>
      <c r="G23">
        <f t="shared" si="6"/>
        <v>929.08735021774339</v>
      </c>
      <c r="J23">
        <f t="shared" si="7"/>
        <v>71.770444259979968</v>
      </c>
      <c r="K23">
        <f t="shared" si="8"/>
        <v>71.770444259979968</v>
      </c>
      <c r="L23">
        <f t="shared" si="9"/>
        <v>5150.9966692748912</v>
      </c>
    </row>
    <row r="24" spans="1:17" ht="18.600000000000001" customHeight="1" x14ac:dyDescent="0.25">
      <c r="A24">
        <v>23</v>
      </c>
      <c r="B24" s="6">
        <v>43709</v>
      </c>
      <c r="C24" s="7">
        <v>1000</v>
      </c>
      <c r="D24">
        <f t="shared" si="3"/>
        <v>1140.424591612576</v>
      </c>
      <c r="E24">
        <f t="shared" si="4"/>
        <v>17.988597348247595</v>
      </c>
      <c r="F24">
        <f t="shared" si="5"/>
        <v>0.83066565200043929</v>
      </c>
      <c r="G24">
        <f t="shared" si="6"/>
        <v>943.45987870467354</v>
      </c>
      <c r="J24">
        <f t="shared" si="7"/>
        <v>-29.087350217743392</v>
      </c>
      <c r="K24">
        <f t="shared" si="8"/>
        <v>29.087350217743392</v>
      </c>
      <c r="L24">
        <f t="shared" si="9"/>
        <v>846.07394268965652</v>
      </c>
    </row>
    <row r="25" spans="1:17" ht="18.600000000000001" customHeight="1" x14ac:dyDescent="0.25">
      <c r="A25">
        <v>24</v>
      </c>
      <c r="B25" s="6">
        <v>43739</v>
      </c>
      <c r="C25" s="7">
        <v>1000</v>
      </c>
      <c r="D25">
        <f t="shared" si="3"/>
        <v>1158.7131888896809</v>
      </c>
      <c r="E25">
        <f t="shared" si="4"/>
        <v>18.288597277104827</v>
      </c>
      <c r="F25">
        <f t="shared" si="5"/>
        <v>0.8298008075846981</v>
      </c>
      <c r="G25">
        <f t="shared" si="6"/>
        <v>958.68677707102643</v>
      </c>
      <c r="J25">
        <f t="shared" si="7"/>
        <v>56.540121295326458</v>
      </c>
      <c r="K25">
        <f t="shared" si="8"/>
        <v>56.540121295326458</v>
      </c>
      <c r="L25">
        <f t="shared" si="9"/>
        <v>3196.7853160902282</v>
      </c>
    </row>
    <row r="26" spans="1:17" ht="18.600000000000001" customHeight="1" x14ac:dyDescent="0.25">
      <c r="A26">
        <v>25</v>
      </c>
      <c r="B26" s="6">
        <v>43770</v>
      </c>
      <c r="C26" s="7">
        <v>1400</v>
      </c>
      <c r="D26">
        <f t="shared" si="3"/>
        <v>1177.2466628207751</v>
      </c>
      <c r="E26">
        <f t="shared" si="4"/>
        <v>18.53347393109425</v>
      </c>
      <c r="F26">
        <f t="shared" si="5"/>
        <v>1.1521334876985005</v>
      </c>
      <c r="G26">
        <f t="shared" si="6"/>
        <v>1353.1540361715872</v>
      </c>
      <c r="J26">
        <f t="shared" si="7"/>
        <v>41.313222928973573</v>
      </c>
      <c r="K26">
        <f t="shared" si="8"/>
        <v>41.313222928973573</v>
      </c>
      <c r="L26">
        <f t="shared" si="9"/>
        <v>1706.7823887790678</v>
      </c>
    </row>
    <row r="27" spans="1:17" ht="18.600000000000001" customHeight="1" x14ac:dyDescent="0.25">
      <c r="A27">
        <v>26</v>
      </c>
      <c r="B27" s="6">
        <v>43800</v>
      </c>
      <c r="C27" s="7">
        <v>2000</v>
      </c>
      <c r="D27">
        <f t="shared" si="3"/>
        <v>1195.4161106981924</v>
      </c>
      <c r="E27">
        <f t="shared" si="4"/>
        <v>18.169447877417269</v>
      </c>
      <c r="F27">
        <f t="shared" si="5"/>
        <v>1.756249704660658</v>
      </c>
      <c r="G27">
        <f t="shared" si="6"/>
        <v>2106.7191756345451</v>
      </c>
      <c r="J27">
        <f t="shared" si="7"/>
        <v>46.845963828412778</v>
      </c>
      <c r="K27">
        <f t="shared" si="8"/>
        <v>46.845963828412778</v>
      </c>
      <c r="L27">
        <f t="shared" si="9"/>
        <v>2194.5443270129585</v>
      </c>
    </row>
    <row r="28" spans="1:17" ht="18.600000000000001" customHeight="1" x14ac:dyDescent="0.25">
      <c r="A28">
        <v>27</v>
      </c>
      <c r="B28" s="6">
        <v>43831</v>
      </c>
      <c r="C28" s="7">
        <v>1300</v>
      </c>
      <c r="D28">
        <f t="shared" si="3"/>
        <v>1213.1758295340931</v>
      </c>
      <c r="E28">
        <f t="shared" si="4"/>
        <v>17.759718835900685</v>
      </c>
      <c r="F28">
        <f t="shared" si="5"/>
        <v>1.1310064965198281</v>
      </c>
      <c r="G28">
        <f t="shared" si="6"/>
        <v>1377.3811470582937</v>
      </c>
      <c r="J28">
        <f t="shared" si="7"/>
        <v>-106.71917563454508</v>
      </c>
      <c r="K28">
        <f t="shared" si="8"/>
        <v>106.71917563454508</v>
      </c>
      <c r="L28">
        <f t="shared" si="9"/>
        <v>11388.98244811688</v>
      </c>
    </row>
    <row r="29" spans="1:17" ht="18.600000000000001" customHeight="1" x14ac:dyDescent="0.25">
      <c r="A29">
        <v>28</v>
      </c>
      <c r="B29" s="6">
        <v>43862</v>
      </c>
      <c r="C29" s="7">
        <v>1300</v>
      </c>
      <c r="D29">
        <f t="shared" si="3"/>
        <v>1230.3903343562663</v>
      </c>
      <c r="E29">
        <f t="shared" si="4"/>
        <v>17.21450482217324</v>
      </c>
      <c r="F29">
        <f t="shared" si="5"/>
        <v>1.1349174140527405</v>
      </c>
      <c r="G29">
        <f t="shared" si="6"/>
        <v>1403.4378698410715</v>
      </c>
      <c r="J29">
        <f t="shared" si="7"/>
        <v>-77.381147058293664</v>
      </c>
      <c r="K29">
        <f t="shared" si="8"/>
        <v>77.381147058293664</v>
      </c>
      <c r="L29">
        <f t="shared" si="9"/>
        <v>5987.8419200572698</v>
      </c>
    </row>
    <row r="30" spans="1:17" ht="18.600000000000001" customHeight="1" x14ac:dyDescent="0.25">
      <c r="A30">
        <v>29</v>
      </c>
      <c r="B30" s="6">
        <v>43891</v>
      </c>
      <c r="C30" s="7">
        <v>1200</v>
      </c>
      <c r="D30">
        <f t="shared" si="3"/>
        <v>1247.7864733148397</v>
      </c>
      <c r="E30">
        <f t="shared" si="4"/>
        <v>17.396138958573374</v>
      </c>
      <c r="F30">
        <f t="shared" si="5"/>
        <v>0.9405057684167839</v>
      </c>
      <c r="G30">
        <f t="shared" si="6"/>
        <v>1171.6168423227168</v>
      </c>
      <c r="J30">
        <f t="shared" si="7"/>
        <v>-103.43786984107146</v>
      </c>
      <c r="K30">
        <f t="shared" si="8"/>
        <v>103.43786984107146</v>
      </c>
      <c r="L30">
        <f t="shared" si="9"/>
        <v>10699.392917258441</v>
      </c>
    </row>
    <row r="31" spans="1:17" ht="18.600000000000001" customHeight="1" x14ac:dyDescent="0.25">
      <c r="A31">
        <v>30</v>
      </c>
      <c r="B31" s="6">
        <v>43922</v>
      </c>
      <c r="C31" s="7">
        <v>1300</v>
      </c>
      <c r="D31">
        <f t="shared" si="3"/>
        <v>1266.9336278453334</v>
      </c>
      <c r="E31">
        <f t="shared" si="4"/>
        <v>19.147154530493708</v>
      </c>
      <c r="F31">
        <f t="shared" si="5"/>
        <v>0.8471093541004121</v>
      </c>
      <c r="G31">
        <f t="shared" si="6"/>
        <v>1056.6539708075452</v>
      </c>
      <c r="J31">
        <f t="shared" si="7"/>
        <v>28.38315767728318</v>
      </c>
      <c r="K31">
        <f t="shared" si="8"/>
        <v>28.38315767728318</v>
      </c>
      <c r="L31">
        <f t="shared" si="9"/>
        <v>805.60363973351912</v>
      </c>
    </row>
    <row r="32" spans="1:17" ht="18.600000000000001" customHeight="1" x14ac:dyDescent="0.25">
      <c r="A32">
        <v>31</v>
      </c>
      <c r="B32" s="6">
        <v>43952</v>
      </c>
      <c r="C32" s="7">
        <v>900</v>
      </c>
      <c r="D32">
        <f t="shared" si="3"/>
        <v>1285.8057779941464</v>
      </c>
      <c r="E32">
        <f t="shared" si="4"/>
        <v>18.872150148813034</v>
      </c>
      <c r="F32">
        <f t="shared" si="5"/>
        <v>0.72401522676847785</v>
      </c>
      <c r="G32">
        <f t="shared" si="6"/>
        <v>933.20496973568697</v>
      </c>
      <c r="J32">
        <f t="shared" si="7"/>
        <v>243.34602919245481</v>
      </c>
      <c r="K32">
        <f t="shared" si="8"/>
        <v>243.34602919245481</v>
      </c>
      <c r="L32">
        <f t="shared" si="9"/>
        <v>59217.289923735065</v>
      </c>
    </row>
    <row r="33" spans="1:12" ht="18.600000000000001" customHeight="1" x14ac:dyDescent="0.25">
      <c r="A33">
        <v>32</v>
      </c>
      <c r="B33" s="6">
        <v>43983</v>
      </c>
      <c r="C33" s="7">
        <v>1200</v>
      </c>
      <c r="D33">
        <f t="shared" si="3"/>
        <v>1304.4942125052983</v>
      </c>
      <c r="E33">
        <f t="shared" si="4"/>
        <v>18.688434511151854</v>
      </c>
      <c r="F33">
        <f t="shared" si="5"/>
        <v>0.94046478576043091</v>
      </c>
      <c r="G33">
        <f t="shared" si="6"/>
        <v>1228.7922737062509</v>
      </c>
      <c r="J33">
        <f t="shared" si="7"/>
        <v>-33.204969735686973</v>
      </c>
      <c r="K33">
        <f t="shared" si="8"/>
        <v>33.204969735686973</v>
      </c>
      <c r="L33">
        <f t="shared" si="9"/>
        <v>1102.5700151478877</v>
      </c>
    </row>
    <row r="34" spans="1:12" ht="18.600000000000001" customHeight="1" x14ac:dyDescent="0.25">
      <c r="A34">
        <v>33</v>
      </c>
      <c r="B34" s="6">
        <v>44013</v>
      </c>
      <c r="C34" s="7">
        <v>1300</v>
      </c>
      <c r="D34">
        <f t="shared" si="3"/>
        <v>1323.5858228809764</v>
      </c>
      <c r="E34">
        <f t="shared" si="4"/>
        <v>19.091610375678101</v>
      </c>
      <c r="F34">
        <f t="shared" si="5"/>
        <v>0.93801317881933555</v>
      </c>
      <c r="G34">
        <f t="shared" si="6"/>
        <v>1237.267442243819</v>
      </c>
      <c r="J34">
        <f t="shared" si="7"/>
        <v>-28.792273706250853</v>
      </c>
      <c r="K34">
        <f t="shared" si="8"/>
        <v>28.792273706250853</v>
      </c>
      <c r="L34">
        <f t="shared" si="9"/>
        <v>828.9950251756643</v>
      </c>
    </row>
    <row r="35" spans="1:12" ht="18.600000000000001" customHeight="1" x14ac:dyDescent="0.25">
      <c r="A35">
        <v>34</v>
      </c>
      <c r="B35" s="6">
        <v>44044</v>
      </c>
      <c r="C35" s="7">
        <v>1200</v>
      </c>
      <c r="D35">
        <f t="shared" si="3"/>
        <v>1343.3393798683258</v>
      </c>
      <c r="E35">
        <f t="shared" si="4"/>
        <v>19.753556987349384</v>
      </c>
      <c r="F35">
        <f t="shared" si="5"/>
        <v>0.83018328509168537</v>
      </c>
      <c r="G35">
        <f t="shared" si="6"/>
        <v>1109.0201160631498</v>
      </c>
      <c r="J35">
        <f t="shared" si="7"/>
        <v>62.732557756180995</v>
      </c>
      <c r="K35">
        <f t="shared" si="8"/>
        <v>62.732557756180995</v>
      </c>
      <c r="L35">
        <f t="shared" si="9"/>
        <v>3935.3738026325841</v>
      </c>
    </row>
    <row r="36" spans="1:12" ht="18.600000000000001" customHeight="1" x14ac:dyDescent="0.25">
      <c r="A36">
        <v>35</v>
      </c>
      <c r="B36" s="6">
        <v>44075</v>
      </c>
      <c r="C36" s="7">
        <v>1100</v>
      </c>
      <c r="D36">
        <f t="shared" si="3"/>
        <v>1362.8594414379331</v>
      </c>
      <c r="E36">
        <f t="shared" si="4"/>
        <v>19.520061569607378</v>
      </c>
      <c r="F36">
        <f t="shared" si="5"/>
        <v>0.82919472698804142</v>
      </c>
      <c r="G36">
        <f t="shared" si="6"/>
        <v>1132.274483130413</v>
      </c>
      <c r="J36">
        <f t="shared" si="7"/>
        <v>90.979883936850229</v>
      </c>
      <c r="K36">
        <f t="shared" si="8"/>
        <v>90.979883936850229</v>
      </c>
      <c r="L36">
        <f t="shared" si="9"/>
        <v>8277.3392811627382</v>
      </c>
    </row>
    <row r="37" spans="1:12" ht="18.600000000000001" customHeight="1" x14ac:dyDescent="0.25">
      <c r="A37">
        <v>36</v>
      </c>
      <c r="B37" s="6">
        <v>44105</v>
      </c>
      <c r="C37" s="7">
        <v>1400</v>
      </c>
      <c r="D37">
        <f t="shared" si="3"/>
        <v>1384.211062095779</v>
      </c>
      <c r="E37">
        <f t="shared" si="4"/>
        <v>21.351620657845842</v>
      </c>
      <c r="F37">
        <f t="shared" si="5"/>
        <v>0.84114907227543223</v>
      </c>
      <c r="G37">
        <f t="shared" si="6"/>
        <v>1147.0996279841906</v>
      </c>
      <c r="J37">
        <f t="shared" si="7"/>
        <v>-32.274483130413046</v>
      </c>
      <c r="K37">
        <f t="shared" si="8"/>
        <v>32.274483130413046</v>
      </c>
      <c r="L37">
        <f t="shared" si="9"/>
        <v>1041.6422613353163</v>
      </c>
    </row>
    <row r="38" spans="1:12" ht="18.600000000000001" customHeight="1" x14ac:dyDescent="0.25">
      <c r="A38">
        <v>37</v>
      </c>
      <c r="B38" s="6">
        <v>44136</v>
      </c>
      <c r="C38" s="7">
        <v>1600</v>
      </c>
      <c r="D38">
        <f t="shared" si="3"/>
        <v>1405.4615129238443</v>
      </c>
      <c r="E38">
        <f t="shared" si="4"/>
        <v>21.250450828065368</v>
      </c>
      <c r="F38">
        <f t="shared" si="5"/>
        <v>1.1512763080583237</v>
      </c>
      <c r="G38">
        <f t="shared" si="6"/>
        <v>1619.3958358597947</v>
      </c>
      <c r="J38">
        <f t="shared" si="7"/>
        <v>252.90037201580935</v>
      </c>
      <c r="K38">
        <f t="shared" si="8"/>
        <v>252.90037201580935</v>
      </c>
      <c r="L38">
        <f t="shared" si="9"/>
        <v>63958.598165734766</v>
      </c>
    </row>
    <row r="39" spans="1:12" ht="18.600000000000001" customHeight="1" x14ac:dyDescent="0.25">
      <c r="A39">
        <v>38</v>
      </c>
      <c r="B39" s="6">
        <v>44166</v>
      </c>
      <c r="C39" s="7">
        <v>2100</v>
      </c>
      <c r="D39">
        <f t="shared" si="3"/>
        <v>1425.3238537608427</v>
      </c>
      <c r="E39">
        <f t="shared" si="4"/>
        <v>19.862340836998328</v>
      </c>
      <c r="F39">
        <f t="shared" si="5"/>
        <v>1.7385716864806824</v>
      </c>
      <c r="G39">
        <f t="shared" si="6"/>
        <v>2505.6624649751188</v>
      </c>
      <c r="J39">
        <f t="shared" si="7"/>
        <v>-19.395835859794715</v>
      </c>
      <c r="K39">
        <f t="shared" si="8"/>
        <v>19.395835859794715</v>
      </c>
      <c r="L39">
        <f t="shared" si="9"/>
        <v>376.1984487000986</v>
      </c>
    </row>
    <row r="40" spans="1:12" ht="18.600000000000001" customHeight="1" x14ac:dyDescent="0.25">
      <c r="A40">
        <v>39</v>
      </c>
      <c r="B40" s="6">
        <v>44197</v>
      </c>
      <c r="C40" s="7">
        <v>2100</v>
      </c>
      <c r="D40">
        <f t="shared" si="3"/>
        <v>1447.6595466289041</v>
      </c>
      <c r="E40">
        <f t="shared" si="4"/>
        <v>22.335692868061415</v>
      </c>
      <c r="F40">
        <f t="shared" si="5"/>
        <v>1.1509784975527526</v>
      </c>
      <c r="G40">
        <f t="shared" si="6"/>
        <v>1634.5149747709268</v>
      </c>
      <c r="J40">
        <f t="shared" si="7"/>
        <v>-405.66246497511884</v>
      </c>
      <c r="K40">
        <f t="shared" si="8"/>
        <v>405.66246497511884</v>
      </c>
      <c r="L40">
        <f t="shared" si="9"/>
        <v>164562.03548968953</v>
      </c>
    </row>
    <row r="41" spans="1:12" ht="18.600000000000001" customHeight="1" x14ac:dyDescent="0.25">
      <c r="A41">
        <v>40</v>
      </c>
      <c r="B41" s="6">
        <v>44228</v>
      </c>
      <c r="C41" s="7">
        <v>1400</v>
      </c>
      <c r="D41">
        <f t="shared" si="3"/>
        <v>1468.5744187921916</v>
      </c>
      <c r="E41">
        <f t="shared" si="4"/>
        <v>20.914872163287555</v>
      </c>
      <c r="F41">
        <f t="shared" si="5"/>
        <v>1.123568754617073</v>
      </c>
      <c r="G41">
        <f t="shared" si="6"/>
        <v>1668.3231958797351</v>
      </c>
      <c r="J41">
        <f t="shared" si="7"/>
        <v>465.48502522907324</v>
      </c>
      <c r="K41">
        <f t="shared" si="8"/>
        <v>465.48502522907324</v>
      </c>
      <c r="L41">
        <f t="shared" si="9"/>
        <v>216676.30871251095</v>
      </c>
    </row>
    <row r="42" spans="1:12" ht="18.600000000000001" customHeight="1" x14ac:dyDescent="0.25">
      <c r="A42">
        <v>41</v>
      </c>
      <c r="B42" s="6">
        <v>44256</v>
      </c>
      <c r="C42" s="7">
        <v>1500</v>
      </c>
      <c r="D42">
        <f t="shared" si="3"/>
        <v>1490.1226859613289</v>
      </c>
      <c r="E42">
        <f t="shared" si="4"/>
        <v>21.548267169137262</v>
      </c>
      <c r="F42">
        <f t="shared" si="5"/>
        <v>0.94463768035522055</v>
      </c>
      <c r="G42">
        <f t="shared" si="6"/>
        <v>1400.8732701386537</v>
      </c>
      <c r="J42">
        <f t="shared" si="7"/>
        <v>-268.32319587973507</v>
      </c>
      <c r="K42">
        <f t="shared" si="8"/>
        <v>268.32319587973507</v>
      </c>
      <c r="L42">
        <f t="shared" si="9"/>
        <v>71997.337447114667</v>
      </c>
    </row>
    <row r="43" spans="1:12" ht="18.600000000000001" customHeight="1" x14ac:dyDescent="0.25">
      <c r="A43">
        <v>42</v>
      </c>
      <c r="B43" s="6">
        <v>44287</v>
      </c>
      <c r="C43" s="7">
        <v>1300</v>
      </c>
      <c r="D43">
        <f t="shared" si="3"/>
        <v>1511.8089317973117</v>
      </c>
      <c r="E43">
        <f t="shared" si="4"/>
        <v>21.686245835982845</v>
      </c>
      <c r="F43">
        <f t="shared" si="5"/>
        <v>0.84790843638080249</v>
      </c>
      <c r="G43">
        <f t="shared" si="6"/>
        <v>1280.5506047187034</v>
      </c>
      <c r="J43">
        <f t="shared" si="7"/>
        <v>99.126729861346348</v>
      </c>
      <c r="K43">
        <f t="shared" si="8"/>
        <v>99.126729861346348</v>
      </c>
      <c r="L43">
        <f t="shared" si="9"/>
        <v>9826.1085730043342</v>
      </c>
    </row>
    <row r="44" spans="1:12" ht="18.600000000000001" customHeight="1" x14ac:dyDescent="0.25">
      <c r="A44">
        <v>43</v>
      </c>
      <c r="B44" s="6">
        <v>44317</v>
      </c>
      <c r="C44" s="7">
        <v>1200</v>
      </c>
      <c r="D44">
        <f t="shared" si="3"/>
        <v>1534.2399380905258</v>
      </c>
      <c r="E44">
        <f t="shared" si="4"/>
        <v>22.431006293214068</v>
      </c>
      <c r="F44">
        <f t="shared" si="5"/>
        <v>0.72764774674524602</v>
      </c>
      <c r="G44">
        <f t="shared" si="6"/>
        <v>1110.273858782537</v>
      </c>
      <c r="J44">
        <f t="shared" si="7"/>
        <v>19.449395281296574</v>
      </c>
      <c r="K44">
        <f t="shared" si="8"/>
        <v>19.449395281296574</v>
      </c>
      <c r="L44">
        <f t="shared" si="9"/>
        <v>378.27897680812146</v>
      </c>
    </row>
    <row r="45" spans="1:12" ht="18.600000000000001" customHeight="1" x14ac:dyDescent="0.25">
      <c r="A45">
        <v>44</v>
      </c>
      <c r="B45" s="6">
        <v>44348</v>
      </c>
      <c r="C45" s="7">
        <v>1400</v>
      </c>
      <c r="D45">
        <f t="shared" si="3"/>
        <v>1556.2620195961763</v>
      </c>
      <c r="E45">
        <f t="shared" si="4"/>
        <v>22.022081505650476</v>
      </c>
      <c r="F45">
        <f t="shared" si="5"/>
        <v>0.93791067196953815</v>
      </c>
      <c r="G45">
        <f t="shared" si="6"/>
        <v>1463.9942062093417</v>
      </c>
      <c r="J45">
        <f t="shared" si="7"/>
        <v>89.72614121746301</v>
      </c>
      <c r="K45">
        <f t="shared" si="8"/>
        <v>89.72614121746301</v>
      </c>
      <c r="L45">
        <f t="shared" si="9"/>
        <v>8050.7804177761145</v>
      </c>
    </row>
    <row r="46" spans="1:12" ht="18.600000000000001" customHeight="1" x14ac:dyDescent="0.25">
      <c r="A46">
        <v>45</v>
      </c>
      <c r="B46" s="6">
        <v>44378</v>
      </c>
      <c r="C46" s="7">
        <v>1400</v>
      </c>
      <c r="D46">
        <f t="shared" si="3"/>
        <v>1577.7686714803735</v>
      </c>
      <c r="E46">
        <f t="shared" si="4"/>
        <v>21.506651884197254</v>
      </c>
      <c r="F46">
        <f t="shared" si="5"/>
        <v>0.93484600447586819</v>
      </c>
      <c r="G46">
        <f t="shared" si="6"/>
        <v>1480.451286754542</v>
      </c>
      <c r="J46">
        <f t="shared" si="7"/>
        <v>-63.994206209341655</v>
      </c>
      <c r="K46">
        <f t="shared" si="8"/>
        <v>63.994206209341655</v>
      </c>
      <c r="L46">
        <f t="shared" si="9"/>
        <v>4095.258428363742</v>
      </c>
    </row>
    <row r="47" spans="1:12" ht="18.600000000000001" customHeight="1" x14ac:dyDescent="0.25">
      <c r="A47">
        <v>46</v>
      </c>
      <c r="B47" s="6">
        <v>44409</v>
      </c>
      <c r="C47" s="7">
        <v>1500</v>
      </c>
      <c r="D47">
        <f t="shared" si="3"/>
        <v>1600.5226427687451</v>
      </c>
      <c r="E47">
        <f t="shared" si="4"/>
        <v>22.753971288371531</v>
      </c>
      <c r="F47">
        <f t="shared" si="5"/>
        <v>0.83687021585263566</v>
      </c>
      <c r="G47">
        <f t="shared" si="6"/>
        <v>1327.6916417168668</v>
      </c>
      <c r="J47">
        <f t="shared" si="7"/>
        <v>-80.451286754542025</v>
      </c>
      <c r="K47">
        <f t="shared" si="8"/>
        <v>80.451286754542025</v>
      </c>
      <c r="L47">
        <f t="shared" si="9"/>
        <v>6472.4095404615491</v>
      </c>
    </row>
    <row r="48" spans="1:12" ht="18.600000000000001" customHeight="1" x14ac:dyDescent="0.25">
      <c r="A48">
        <v>47</v>
      </c>
      <c r="B48" s="6">
        <v>44440</v>
      </c>
      <c r="C48" s="7">
        <v>1500</v>
      </c>
      <c r="D48">
        <f t="shared" si="3"/>
        <v>1624.3926405718655</v>
      </c>
      <c r="E48">
        <f t="shared" si="4"/>
        <v>23.869997803120441</v>
      </c>
      <c r="F48">
        <f t="shared" si="5"/>
        <v>0.83508285192499609</v>
      </c>
      <c r="G48">
        <f t="shared" si="6"/>
        <v>1346.0124088191631</v>
      </c>
      <c r="J48">
        <f t="shared" si="7"/>
        <v>172.3083582831332</v>
      </c>
      <c r="K48">
        <f t="shared" si="8"/>
        <v>172.3083582831332</v>
      </c>
      <c r="L48">
        <f t="shared" si="9"/>
        <v>29690.170334228598</v>
      </c>
    </row>
    <row r="49" spans="1:12" ht="18.600000000000001" customHeight="1" x14ac:dyDescent="0.25">
      <c r="A49">
        <v>48</v>
      </c>
      <c r="B49" s="6">
        <v>44470</v>
      </c>
      <c r="C49" s="7">
        <v>1300</v>
      </c>
      <c r="D49">
        <f t="shared" si="3"/>
        <v>1647.6451057302761</v>
      </c>
      <c r="E49">
        <f t="shared" si="4"/>
        <v>23.252465158410587</v>
      </c>
      <c r="F49">
        <f t="shared" si="5"/>
        <v>0.8378906587214705</v>
      </c>
      <c r="G49">
        <f>(D48+E48)*F37</f>
        <v>1386.4345891353757</v>
      </c>
      <c r="J49">
        <f t="shared" si="7"/>
        <v>153.98759118083694</v>
      </c>
      <c r="K49">
        <f t="shared" si="8"/>
        <v>153.98759118083694</v>
      </c>
      <c r="L49">
        <f t="shared" si="9"/>
        <v>23712.178237676573</v>
      </c>
    </row>
    <row r="50" spans="1:12" ht="18.600000000000001" customHeight="1" x14ac:dyDescent="0.25">
      <c r="A50">
        <v>49</v>
      </c>
      <c r="B50" s="6">
        <v>44501</v>
      </c>
      <c r="G50" s="25">
        <f>($D$49+H50*$E$49)*F38</f>
        <v>1923.6647865563484</v>
      </c>
      <c r="H50">
        <v>1</v>
      </c>
      <c r="J50">
        <f t="shared" si="7"/>
        <v>-86.434589135375745</v>
      </c>
      <c r="K50">
        <f t="shared" si="8"/>
        <v>86.434589135375745</v>
      </c>
      <c r="L50">
        <f t="shared" si="9"/>
        <v>7470.9381990012153</v>
      </c>
    </row>
    <row r="51" spans="1:12" ht="18.600000000000001" customHeight="1" x14ac:dyDescent="0.25">
      <c r="A51">
        <v>50</v>
      </c>
      <c r="B51" s="6">
        <v>44531</v>
      </c>
      <c r="G51" s="25">
        <f>($D$49+H51*$E$49)*F39</f>
        <v>2945.4012853217109</v>
      </c>
      <c r="H51">
        <v>2</v>
      </c>
    </row>
    <row r="52" spans="1:12" ht="18.600000000000001" customHeight="1" x14ac:dyDescent="0.25">
      <c r="A52">
        <v>51</v>
      </c>
      <c r="B52" s="6">
        <v>44562</v>
      </c>
      <c r="G52" s="19">
        <f>($D$49+H52*$E$49)*F40</f>
        <v>1976.6933505308548</v>
      </c>
      <c r="H52">
        <v>3</v>
      </c>
    </row>
    <row r="53" spans="1:12" ht="18.600000000000001" customHeight="1" x14ac:dyDescent="0.25">
      <c r="A53">
        <v>52</v>
      </c>
      <c r="B53" s="6">
        <v>44593</v>
      </c>
      <c r="G53" s="19">
        <f t="shared" ref="G52:G61" si="10">($D$49+H53*$E$49)*F41</f>
        <v>1955.7455327755308</v>
      </c>
      <c r="H53">
        <v>4</v>
      </c>
      <c r="K53" s="20" t="s">
        <v>2</v>
      </c>
      <c r="L53" s="20" t="s">
        <v>3</v>
      </c>
    </row>
    <row r="54" spans="1:12" ht="18.600000000000001" customHeight="1" x14ac:dyDescent="0.25">
      <c r="A54">
        <v>53</v>
      </c>
      <c r="B54" s="6">
        <v>44621</v>
      </c>
      <c r="G54" s="19">
        <f t="shared" si="10"/>
        <v>1666.253424474588</v>
      </c>
      <c r="H54">
        <v>5</v>
      </c>
      <c r="K54">
        <f>AVERAGE(K15:K50)</f>
        <v>111.90427174948412</v>
      </c>
      <c r="L54">
        <f>AVERAGE(L15:L50)</f>
        <v>23201.98233248193</v>
      </c>
    </row>
    <row r="55" spans="1:12" ht="18.600000000000001" customHeight="1" x14ac:dyDescent="0.25">
      <c r="A55">
        <v>54</v>
      </c>
      <c r="B55" s="6">
        <v>44652</v>
      </c>
      <c r="G55" s="19">
        <f t="shared" si="10"/>
        <v>1515.3479535570425</v>
      </c>
      <c r="H55">
        <v>6</v>
      </c>
    </row>
    <row r="56" spans="1:12" ht="18.600000000000001" customHeight="1" x14ac:dyDescent="0.25">
      <c r="A56">
        <v>55</v>
      </c>
      <c r="B56" s="6">
        <v>44682</v>
      </c>
      <c r="G56" s="19">
        <f t="shared" si="10"/>
        <v>1317.3424757719968</v>
      </c>
      <c r="H56">
        <v>7</v>
      </c>
      <c r="L56" s="20" t="s">
        <v>24</v>
      </c>
    </row>
    <row r="57" spans="1:12" ht="18.600000000000001" customHeight="1" x14ac:dyDescent="0.25">
      <c r="A57">
        <v>56</v>
      </c>
      <c r="B57" s="6">
        <v>44713</v>
      </c>
      <c r="G57" s="19">
        <f t="shared" si="10"/>
        <v>1719.8138100561891</v>
      </c>
      <c r="H57">
        <v>8</v>
      </c>
      <c r="L57">
        <f>L54^0.5</f>
        <v>152.32196930345251</v>
      </c>
    </row>
    <row r="58" spans="1:12" ht="18.600000000000001" customHeight="1" x14ac:dyDescent="0.25">
      <c r="A58">
        <v>57</v>
      </c>
      <c r="B58" s="6">
        <v>44743</v>
      </c>
      <c r="G58" s="19">
        <f t="shared" si="10"/>
        <v>1735.9317112141582</v>
      </c>
      <c r="H58">
        <v>9</v>
      </c>
    </row>
    <row r="59" spans="1:12" ht="18.600000000000001" customHeight="1" x14ac:dyDescent="0.25">
      <c r="A59">
        <v>58</v>
      </c>
      <c r="B59" s="6">
        <v>44774</v>
      </c>
      <c r="G59" s="19">
        <f t="shared" si="10"/>
        <v>1573.4580706432844</v>
      </c>
      <c r="H59">
        <v>10</v>
      </c>
    </row>
    <row r="60" spans="1:12" ht="18.600000000000001" customHeight="1" x14ac:dyDescent="0.25">
      <c r="A60">
        <v>59</v>
      </c>
      <c r="B60" s="6">
        <v>44805</v>
      </c>
      <c r="G60" s="19">
        <f t="shared" si="10"/>
        <v>1589.515257959994</v>
      </c>
      <c r="H60">
        <v>11</v>
      </c>
    </row>
    <row r="61" spans="1:12" ht="18.600000000000001" customHeight="1" x14ac:dyDescent="0.25">
      <c r="A61">
        <v>60</v>
      </c>
      <c r="B61" s="6">
        <v>44835</v>
      </c>
      <c r="G61" s="19">
        <f t="shared" si="10"/>
        <v>1614.3427231612923</v>
      </c>
      <c r="H61">
        <v>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B9EC87-B497-4C58-9F12-E52DC92431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E0F433-D1CC-45A2-AA8E-5C542DBCC7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9943F3-1DDA-4626-BF11-A138D2B5E77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Holt's Exponential Smoothing</vt:lpstr>
      <vt:lpstr>Tourists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Prashan Karunaratne</dc:creator>
  <cp:lastModifiedBy>Bryan Johns</cp:lastModifiedBy>
  <dcterms:created xsi:type="dcterms:W3CDTF">2021-01-13T05:39:12Z</dcterms:created>
  <dcterms:modified xsi:type="dcterms:W3CDTF">2025-12-22T09:19:15Z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