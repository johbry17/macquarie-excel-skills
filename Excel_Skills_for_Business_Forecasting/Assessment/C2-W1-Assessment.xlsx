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br\Downloads\Excel Skills for Business Forecasting\2\"/>
    </mc:Choice>
  </mc:AlternateContent>
  <xr:revisionPtr revIDLastSave="0" documentId="13_ncr:1_{6D677B87-7A8D-4B17-BF10-F1B546C60BBD}" xr6:coauthVersionLast="47" xr6:coauthVersionMax="47" xr10:uidLastSave="{00000000-0000-0000-0000-000000000000}"/>
  <bookViews>
    <workbookView xWindow="-3780" yWindow="2895" windowWidth="21600" windowHeight="11835" xr2:uid="{00000000-000D-0000-FFFF-FFFF00000000}"/>
  </bookViews>
  <sheets>
    <sheet name="Seasonally Adjusted" sheetId="15" r:id="rId1"/>
  </sheets>
  <definedNames>
    <definedName name="A3348582J">#REF!,#REF!</definedName>
    <definedName name="A3348582J_Data">#REF!</definedName>
    <definedName name="A3348582J_Latest">#REF!</definedName>
    <definedName name="A3348585R">#REF!,#REF!</definedName>
    <definedName name="A3348585R_Data">#REF!</definedName>
    <definedName name="A3348585R_Latest">#REF!</definedName>
    <definedName name="A3348588W">#REF!,#REF!</definedName>
    <definedName name="A3348588W_Data">#REF!</definedName>
    <definedName name="A3348588W_Latest">#REF!</definedName>
    <definedName name="A3348591K">#REF!,#REF!</definedName>
    <definedName name="A3348591K_Data">#REF!</definedName>
    <definedName name="A3348591K_Latest">#REF!</definedName>
    <definedName name="A3348594T">#REF!,#REF!</definedName>
    <definedName name="A3348594T_Data">#REF!</definedName>
    <definedName name="A3348594T_Latest">#REF!</definedName>
    <definedName name="A3348597X">#REF!,#REF!</definedName>
    <definedName name="A3348597X_Data">#REF!</definedName>
    <definedName name="A3348597X_Latest">#REF!</definedName>
    <definedName name="A3348600A">#REF!,#REF!</definedName>
    <definedName name="A3348600A_Data">#REF!</definedName>
    <definedName name="A3348600A_Latest">#REF!</definedName>
    <definedName name="A3348603J">#REF!,#REF!</definedName>
    <definedName name="A3348603J_Data">#REF!</definedName>
    <definedName name="A3348603J_Latest">#REF!</definedName>
    <definedName name="A3348606R">#REF!,#REF!</definedName>
    <definedName name="A3348606R_Data">#REF!</definedName>
    <definedName name="A3348606R_Latest">#REF!</definedName>
    <definedName name="A3348609W">#REF!,#REF!</definedName>
    <definedName name="A3348609W_Data">#REF!</definedName>
    <definedName name="A3348609W_Latest">#REF!</definedName>
    <definedName name="A3348612K">#REF!,#REF!</definedName>
    <definedName name="A3348612K_Data">#REF!</definedName>
    <definedName name="A3348612K_Latest">#REF!</definedName>
    <definedName name="A3348615T">#REF!,#REF!</definedName>
    <definedName name="A3348615T_Data">#REF!</definedName>
    <definedName name="A3348615T_Latest">#REF!</definedName>
    <definedName name="A3348618X">#REF!,#REF!</definedName>
    <definedName name="A3348618X_Data">#REF!</definedName>
    <definedName name="A3348618X_Latest">#REF!</definedName>
    <definedName name="A3348621L">#REF!,#REF!</definedName>
    <definedName name="A3348621L_Data">#REF!</definedName>
    <definedName name="A3348621L_Latest">#REF!</definedName>
    <definedName name="A3348624V">#REF!,#REF!</definedName>
    <definedName name="A3348624V_Data">#REF!</definedName>
    <definedName name="A3348624V_Latest">#REF!</definedName>
    <definedName name="A3348627A">#REF!,#REF!</definedName>
    <definedName name="A3348627A_Data">#REF!</definedName>
    <definedName name="A3348627A_Latest">#REF!</definedName>
    <definedName name="A3348630R">#REF!,#REF!</definedName>
    <definedName name="A3348630R_Data">#REF!</definedName>
    <definedName name="A3348630R_Latest">#REF!</definedName>
    <definedName name="A3348633W">#REF!,#REF!</definedName>
    <definedName name="A3348633W_Data">#REF!</definedName>
    <definedName name="A3348633W_Latest">#REF!</definedName>
    <definedName name="A3348636C">#REF!,#REF!</definedName>
    <definedName name="A3348636C_Data">#REF!</definedName>
    <definedName name="A3348636C_Latest">#REF!</definedName>
    <definedName name="A3348639K">#REF!,#REF!</definedName>
    <definedName name="A3348639K_Data">#REF!</definedName>
    <definedName name="A3348639K_Latest">#REF!</definedName>
    <definedName name="A3348642X">#REF!,#REF!</definedName>
    <definedName name="A3348642X_Data">#REF!</definedName>
    <definedName name="A3348642X_Latest">#REF!</definedName>
    <definedName name="Date_Range">#REF!,#REF!</definedName>
    <definedName name="Date_Range_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5" l="1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2" i="15"/>
</calcChain>
</file>

<file path=xl/sharedStrings.xml><?xml version="1.0" encoding="utf-8"?>
<sst xmlns="http://schemas.openxmlformats.org/spreadsheetml/2006/main" count="34" uniqueCount="33">
  <si>
    <t>Forecast</t>
  </si>
  <si>
    <t>Date</t>
  </si>
  <si>
    <t>Time</t>
  </si>
  <si>
    <t xml:space="preserve">Turnover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</si>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</sst>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0.0;\-0.0;0.0;@"/>
    <numFmt numFmtId="166" formatCode="0.00;\-0.00;0.00;@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166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894488188976378"/>
                  <c:y val="-9.76388888888888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'Seasonally Adjusted'!$C$2:$C$121</c:f>
              <c:numCache>
                <c:formatCode>0.00;\-0.00;0.00;@</c:formatCode>
                <c:ptCount val="120"/>
                <c:pt idx="0">
                  <c:v>7956.2</c:v>
                </c:pt>
                <c:pt idx="1">
                  <c:v>7858</c:v>
                </c:pt>
                <c:pt idx="2">
                  <c:v>7919.2</c:v>
                </c:pt>
                <c:pt idx="3">
                  <c:v>8052.1</c:v>
                </c:pt>
                <c:pt idx="4">
                  <c:v>8066.3</c:v>
                </c:pt>
                <c:pt idx="5">
                  <c:v>8066.7</c:v>
                </c:pt>
                <c:pt idx="6">
                  <c:v>8086.2</c:v>
                </c:pt>
                <c:pt idx="7">
                  <c:v>8052.4</c:v>
                </c:pt>
                <c:pt idx="8">
                  <c:v>8044.4</c:v>
                </c:pt>
                <c:pt idx="9">
                  <c:v>8077.6</c:v>
                </c:pt>
                <c:pt idx="10">
                  <c:v>8113.3</c:v>
                </c:pt>
                <c:pt idx="11">
                  <c:v>8123.7</c:v>
                </c:pt>
                <c:pt idx="12">
                  <c:v>8275.1</c:v>
                </c:pt>
                <c:pt idx="13">
                  <c:v>8297.1</c:v>
                </c:pt>
                <c:pt idx="14">
                  <c:v>8255.2000000000007</c:v>
                </c:pt>
                <c:pt idx="15">
                  <c:v>8292.6</c:v>
                </c:pt>
                <c:pt idx="16">
                  <c:v>8311</c:v>
                </c:pt>
                <c:pt idx="17">
                  <c:v>8334.5</c:v>
                </c:pt>
                <c:pt idx="18">
                  <c:v>8430</c:v>
                </c:pt>
                <c:pt idx="19">
                  <c:v>8463.2999999999993</c:v>
                </c:pt>
                <c:pt idx="20">
                  <c:v>8438.5</c:v>
                </c:pt>
                <c:pt idx="21">
                  <c:v>8452.2000000000007</c:v>
                </c:pt>
                <c:pt idx="22">
                  <c:v>8510.5</c:v>
                </c:pt>
                <c:pt idx="23">
                  <c:v>8477.6</c:v>
                </c:pt>
                <c:pt idx="24">
                  <c:v>8477.7000000000007</c:v>
                </c:pt>
                <c:pt idx="25">
                  <c:v>8513.9</c:v>
                </c:pt>
                <c:pt idx="26">
                  <c:v>8582.2000000000007</c:v>
                </c:pt>
                <c:pt idx="27">
                  <c:v>8610.2000000000007</c:v>
                </c:pt>
                <c:pt idx="28">
                  <c:v>8637.7000000000007</c:v>
                </c:pt>
                <c:pt idx="29">
                  <c:v>8731.7000000000007</c:v>
                </c:pt>
                <c:pt idx="30">
                  <c:v>8746.5</c:v>
                </c:pt>
                <c:pt idx="31">
                  <c:v>8765.1</c:v>
                </c:pt>
                <c:pt idx="32">
                  <c:v>8812.7999999999993</c:v>
                </c:pt>
                <c:pt idx="33">
                  <c:v>8874.4</c:v>
                </c:pt>
                <c:pt idx="34">
                  <c:v>8859.5</c:v>
                </c:pt>
                <c:pt idx="35">
                  <c:v>8842.7000000000007</c:v>
                </c:pt>
                <c:pt idx="36">
                  <c:v>8933.2000000000007</c:v>
                </c:pt>
                <c:pt idx="37">
                  <c:v>8972.1</c:v>
                </c:pt>
                <c:pt idx="38">
                  <c:v>9022.5</c:v>
                </c:pt>
                <c:pt idx="39">
                  <c:v>9008.4</c:v>
                </c:pt>
                <c:pt idx="40">
                  <c:v>9009.7000000000007</c:v>
                </c:pt>
                <c:pt idx="41">
                  <c:v>9028.2999999999993</c:v>
                </c:pt>
                <c:pt idx="42">
                  <c:v>9099.2000000000007</c:v>
                </c:pt>
                <c:pt idx="43">
                  <c:v>9130.9</c:v>
                </c:pt>
                <c:pt idx="44">
                  <c:v>9143.7000000000007</c:v>
                </c:pt>
                <c:pt idx="45">
                  <c:v>9156.4</c:v>
                </c:pt>
                <c:pt idx="46">
                  <c:v>9158.7999999999993</c:v>
                </c:pt>
                <c:pt idx="47">
                  <c:v>9412</c:v>
                </c:pt>
                <c:pt idx="48">
                  <c:v>9506.4</c:v>
                </c:pt>
                <c:pt idx="49">
                  <c:v>9413.9</c:v>
                </c:pt>
                <c:pt idx="50">
                  <c:v>9453.9</c:v>
                </c:pt>
                <c:pt idx="51">
                  <c:v>9458.2999999999993</c:v>
                </c:pt>
                <c:pt idx="52">
                  <c:v>9495.9</c:v>
                </c:pt>
                <c:pt idx="53">
                  <c:v>9569.2000000000007</c:v>
                </c:pt>
                <c:pt idx="54">
                  <c:v>9604.9</c:v>
                </c:pt>
                <c:pt idx="55">
                  <c:v>9645.7000000000007</c:v>
                </c:pt>
                <c:pt idx="56">
                  <c:v>9674.7999999999993</c:v>
                </c:pt>
                <c:pt idx="57">
                  <c:v>9705.2000000000007</c:v>
                </c:pt>
                <c:pt idx="58">
                  <c:v>9742.9</c:v>
                </c:pt>
                <c:pt idx="59">
                  <c:v>9733.1</c:v>
                </c:pt>
                <c:pt idx="60">
                  <c:v>9724.7000000000007</c:v>
                </c:pt>
                <c:pt idx="61">
                  <c:v>9801.1</c:v>
                </c:pt>
                <c:pt idx="62">
                  <c:v>9798.2999999999993</c:v>
                </c:pt>
                <c:pt idx="63">
                  <c:v>9813.7000000000007</c:v>
                </c:pt>
                <c:pt idx="64">
                  <c:v>9867.7000000000007</c:v>
                </c:pt>
                <c:pt idx="65">
                  <c:v>9894.4</c:v>
                </c:pt>
                <c:pt idx="66">
                  <c:v>9886.4</c:v>
                </c:pt>
                <c:pt idx="67">
                  <c:v>9923</c:v>
                </c:pt>
                <c:pt idx="68">
                  <c:v>9942.5</c:v>
                </c:pt>
                <c:pt idx="69">
                  <c:v>10013.5</c:v>
                </c:pt>
                <c:pt idx="70">
                  <c:v>10038.299999999999</c:v>
                </c:pt>
                <c:pt idx="71">
                  <c:v>10057.9</c:v>
                </c:pt>
                <c:pt idx="72">
                  <c:v>10054.9</c:v>
                </c:pt>
                <c:pt idx="73">
                  <c:v>10041.5</c:v>
                </c:pt>
                <c:pt idx="74">
                  <c:v>10082</c:v>
                </c:pt>
                <c:pt idx="75">
                  <c:v>10035.9</c:v>
                </c:pt>
                <c:pt idx="76">
                  <c:v>10091.6</c:v>
                </c:pt>
                <c:pt idx="77">
                  <c:v>10101.200000000001</c:v>
                </c:pt>
                <c:pt idx="78">
                  <c:v>10114</c:v>
                </c:pt>
                <c:pt idx="79">
                  <c:v>10213.9</c:v>
                </c:pt>
                <c:pt idx="80">
                  <c:v>10264.4</c:v>
                </c:pt>
                <c:pt idx="81">
                  <c:v>10265.9</c:v>
                </c:pt>
                <c:pt idx="82">
                  <c:v>10342.700000000001</c:v>
                </c:pt>
                <c:pt idx="83">
                  <c:v>10351.799999999999</c:v>
                </c:pt>
                <c:pt idx="84">
                  <c:v>10394.4</c:v>
                </c:pt>
                <c:pt idx="85">
                  <c:v>10402.200000000001</c:v>
                </c:pt>
                <c:pt idx="86">
                  <c:v>10371.299999999999</c:v>
                </c:pt>
                <c:pt idx="87">
                  <c:v>10434.200000000001</c:v>
                </c:pt>
                <c:pt idx="88">
                  <c:v>10458.799999999999</c:v>
                </c:pt>
                <c:pt idx="89">
                  <c:v>10477.9</c:v>
                </c:pt>
                <c:pt idx="90">
                  <c:v>10493.5</c:v>
                </c:pt>
                <c:pt idx="91">
                  <c:v>10462.799999999999</c:v>
                </c:pt>
                <c:pt idx="92">
                  <c:v>10548.3</c:v>
                </c:pt>
                <c:pt idx="93">
                  <c:v>10574.4</c:v>
                </c:pt>
                <c:pt idx="94">
                  <c:v>10573</c:v>
                </c:pt>
                <c:pt idx="95">
                  <c:v>10662.2</c:v>
                </c:pt>
                <c:pt idx="96">
                  <c:v>10658</c:v>
                </c:pt>
                <c:pt idx="97">
                  <c:v>10674.7</c:v>
                </c:pt>
                <c:pt idx="98">
                  <c:v>10771.8</c:v>
                </c:pt>
                <c:pt idx="99">
                  <c:v>10821.2</c:v>
                </c:pt>
                <c:pt idx="100">
                  <c:v>10851.5</c:v>
                </c:pt>
                <c:pt idx="101">
                  <c:v>10896.4</c:v>
                </c:pt>
                <c:pt idx="102">
                  <c:v>10926.6</c:v>
                </c:pt>
                <c:pt idx="103">
                  <c:v>10937.9</c:v>
                </c:pt>
                <c:pt idx="104">
                  <c:v>10976.2</c:v>
                </c:pt>
                <c:pt idx="105">
                  <c:v>10990</c:v>
                </c:pt>
                <c:pt idx="106">
                  <c:v>11019</c:v>
                </c:pt>
                <c:pt idx="107">
                  <c:v>11073.2</c:v>
                </c:pt>
                <c:pt idx="108">
                  <c:v>11112.5</c:v>
                </c:pt>
                <c:pt idx="109">
                  <c:v>11197.5</c:v>
                </c:pt>
                <c:pt idx="110">
                  <c:v>11257.5</c:v>
                </c:pt>
                <c:pt idx="111">
                  <c:v>11252.6</c:v>
                </c:pt>
                <c:pt idx="112">
                  <c:v>11230.1</c:v>
                </c:pt>
                <c:pt idx="113">
                  <c:v>11224.3</c:v>
                </c:pt>
                <c:pt idx="114">
                  <c:v>11269.3</c:v>
                </c:pt>
                <c:pt idx="115">
                  <c:v>11305.5</c:v>
                </c:pt>
                <c:pt idx="116">
                  <c:v>11331.9</c:v>
                </c:pt>
                <c:pt idx="117">
                  <c:v>11348.6</c:v>
                </c:pt>
                <c:pt idx="118">
                  <c:v>11418.2</c:v>
                </c:pt>
                <c:pt idx="119">
                  <c:v>11377.4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93-4A17-B584-8B54EFEBB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8733615"/>
        <c:axId val="1708732175"/>
      </c:lineChart>
      <c:catAx>
        <c:axId val="170873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732175"/>
        <c:crosses val="autoZero"/>
        <c:auto val="1"/>
        <c:lblAlgn val="ctr"/>
        <c:lblOffset val="100"/>
        <c:noMultiLvlLbl val="0"/>
      </c:catAx>
      <c:valAx>
        <c:axId val="170873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;\-0.00;0.0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733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3</xdr:row>
      <xdr:rowOff>100012</xdr:rowOff>
    </xdr:from>
    <xdr:to>
      <xdr:col>12</xdr:col>
      <xdr:colOff>276225</xdr:colOff>
      <xdr:row>17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2FA59B-F9B5-A0A1-512D-5C494A846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4"/>
  <sheetViews>
    <sheetView tabSelected="1" workbookViewId="0">
      <pane ySplit="1" topLeftCell="A20" activePane="bottomLeft" state="frozen"/>
      <selection pane="bottomLeft" activeCell="H117" sqref="H117"/>
    </sheetView>
  </sheetViews>
  <sheetFormatPr defaultRowHeight="15" x14ac:dyDescent="0.25"/>
  <cols>
    <col min="1" max="1" width="9.28515625" bestFit="1" customWidth="1"/>
    <col min="2" max="2" width="9.42578125" style="1" bestFit="1" customWidth="1"/>
    <col min="3" max="3" width="9.85546875" style="1" customWidth="1"/>
  </cols>
  <sheetData>
    <row r="1" spans="1:4" x14ac:dyDescent="0.25">
      <c r="A1" s="6" t="s">
        <v>2</v>
      </c>
      <c r="B1" s="6" t="s">
        <v>1</v>
      </c>
      <c r="C1" s="6" t="s">
        <v>3</v>
      </c>
      <c r="D1" s="6" t="s">
        <v>0</v>
      </c>
    </row>
    <row r="2" spans="1:4" x14ac:dyDescent="0.25">
      <c r="A2">
        <v>1</v>
      </c>
      <c r="B2" s="7">
        <v>40544</v>
      </c>
      <c r="C2" s="4">
        <v>7956.2</v>
      </c>
      <c r="D2">
        <f>29.864*A2 + 7843.1</f>
        <v>7872.9639999999999</v>
      </c>
    </row>
    <row r="3" spans="1:4" x14ac:dyDescent="0.25">
      <c r="A3">
        <v>2</v>
      </c>
      <c r="B3" s="7">
        <v>40575</v>
      </c>
      <c r="C3" s="4">
        <v>7858</v>
      </c>
      <c r="D3">
        <f t="shared" ref="D3:D66" si="0">29.864*A3 + 7843.1</f>
        <v>7902.8280000000004</v>
      </c>
    </row>
    <row r="4" spans="1:4" x14ac:dyDescent="0.25">
      <c r="A4">
        <v>3</v>
      </c>
      <c r="B4" s="7">
        <v>40603</v>
      </c>
      <c r="C4" s="4">
        <v>7919.2</v>
      </c>
      <c r="D4">
        <f t="shared" si="0"/>
        <v>7932.692</v>
      </c>
    </row>
    <row r="5" spans="1:4" x14ac:dyDescent="0.25">
      <c r="A5">
        <v>4</v>
      </c>
      <c r="B5" s="7">
        <v>40634</v>
      </c>
      <c r="C5" s="4">
        <v>8052.1</v>
      </c>
      <c r="D5">
        <f t="shared" si="0"/>
        <v>7962.5560000000005</v>
      </c>
    </row>
    <row r="6" spans="1:4" x14ac:dyDescent="0.25">
      <c r="A6">
        <v>5</v>
      </c>
      <c r="B6" s="7">
        <v>40664</v>
      </c>
      <c r="C6" s="4">
        <v>8066.3</v>
      </c>
      <c r="D6">
        <f t="shared" si="0"/>
        <v>7992.42</v>
      </c>
    </row>
    <row r="7" spans="1:4" x14ac:dyDescent="0.25">
      <c r="A7">
        <v>6</v>
      </c>
      <c r="B7" s="7">
        <v>40695</v>
      </c>
      <c r="C7" s="4">
        <v>8066.7</v>
      </c>
      <c r="D7">
        <f t="shared" si="0"/>
        <v>8022.2840000000006</v>
      </c>
    </row>
    <row r="8" spans="1:4" x14ac:dyDescent="0.25">
      <c r="A8">
        <v>7</v>
      </c>
      <c r="B8" s="7">
        <v>40725</v>
      </c>
      <c r="C8" s="4">
        <v>8086.2</v>
      </c>
      <c r="D8">
        <f t="shared" si="0"/>
        <v>8052.1480000000001</v>
      </c>
    </row>
    <row r="9" spans="1:4" x14ac:dyDescent="0.25">
      <c r="A9">
        <v>8</v>
      </c>
      <c r="B9" s="7">
        <v>40756</v>
      </c>
      <c r="C9" s="4">
        <v>8052.4</v>
      </c>
      <c r="D9">
        <f t="shared" si="0"/>
        <v>8082.0120000000006</v>
      </c>
    </row>
    <row r="10" spans="1:4" x14ac:dyDescent="0.25">
      <c r="A10">
        <v>9</v>
      </c>
      <c r="B10" s="7">
        <v>40787</v>
      </c>
      <c r="C10" s="4">
        <v>8044.4</v>
      </c>
      <c r="D10">
        <f t="shared" si="0"/>
        <v>8111.8760000000002</v>
      </c>
    </row>
    <row r="11" spans="1:4" x14ac:dyDescent="0.25">
      <c r="A11">
        <v>10</v>
      </c>
      <c r="B11" s="7">
        <v>40817</v>
      </c>
      <c r="C11" s="4">
        <v>8077.6</v>
      </c>
      <c r="D11">
        <f t="shared" si="0"/>
        <v>8141.7400000000007</v>
      </c>
    </row>
    <row r="12" spans="1:4" x14ac:dyDescent="0.25">
      <c r="A12">
        <v>11</v>
      </c>
      <c r="B12" s="7">
        <v>40848</v>
      </c>
      <c r="C12" s="4">
        <v>8113.3</v>
      </c>
      <c r="D12">
        <f t="shared" si="0"/>
        <v>8171.6040000000003</v>
      </c>
    </row>
    <row r="13" spans="1:4" x14ac:dyDescent="0.25">
      <c r="A13">
        <v>12</v>
      </c>
      <c r="B13" s="7">
        <v>40878</v>
      </c>
      <c r="C13" s="4">
        <v>8123.7</v>
      </c>
      <c r="D13">
        <f t="shared" si="0"/>
        <v>8201.4680000000008</v>
      </c>
    </row>
    <row r="14" spans="1:4" x14ac:dyDescent="0.25">
      <c r="A14">
        <v>13</v>
      </c>
      <c r="B14" s="7">
        <v>40909</v>
      </c>
      <c r="C14" s="4">
        <v>8275.1</v>
      </c>
      <c r="D14">
        <f t="shared" si="0"/>
        <v>8231.3320000000003</v>
      </c>
    </row>
    <row r="15" spans="1:4" x14ac:dyDescent="0.25">
      <c r="A15">
        <v>14</v>
      </c>
      <c r="B15" s="7">
        <v>40940</v>
      </c>
      <c r="C15" s="4">
        <v>8297.1</v>
      </c>
      <c r="D15">
        <f t="shared" si="0"/>
        <v>8261.1959999999999</v>
      </c>
    </row>
    <row r="16" spans="1:4" x14ac:dyDescent="0.25">
      <c r="A16">
        <v>15</v>
      </c>
      <c r="B16" s="7">
        <v>40969</v>
      </c>
      <c r="C16" s="4">
        <v>8255.2000000000007</v>
      </c>
      <c r="D16">
        <f t="shared" si="0"/>
        <v>8291.0600000000013</v>
      </c>
    </row>
    <row r="17" spans="1:11" x14ac:dyDescent="0.25">
      <c r="A17">
        <v>16</v>
      </c>
      <c r="B17" s="7">
        <v>41000</v>
      </c>
      <c r="C17" s="4">
        <v>8292.6</v>
      </c>
      <c r="D17">
        <f t="shared" si="0"/>
        <v>8320.9240000000009</v>
      </c>
    </row>
    <row r="18" spans="1:11" x14ac:dyDescent="0.25">
      <c r="A18">
        <v>17</v>
      </c>
      <c r="B18" s="7">
        <v>41030</v>
      </c>
      <c r="C18" s="4">
        <v>8311</v>
      </c>
      <c r="D18">
        <f t="shared" si="0"/>
        <v>8350.7880000000005</v>
      </c>
    </row>
    <row r="19" spans="1:11" x14ac:dyDescent="0.25">
      <c r="A19">
        <v>18</v>
      </c>
      <c r="B19" s="7">
        <v>41061</v>
      </c>
      <c r="C19" s="4">
        <v>8334.5</v>
      </c>
      <c r="D19">
        <f t="shared" si="0"/>
        <v>8380.652</v>
      </c>
    </row>
    <row r="20" spans="1:11" x14ac:dyDescent="0.25">
      <c r="A20">
        <v>19</v>
      </c>
      <c r="B20" s="7">
        <v>41091</v>
      </c>
      <c r="C20" s="4">
        <v>8430</v>
      </c>
      <c r="D20">
        <f t="shared" si="0"/>
        <v>8410.5159999999996</v>
      </c>
      <c r="F20" t="s">
        <v>4</v>
      </c>
    </row>
    <row r="21" spans="1:11" ht="15.75" thickBot="1" x14ac:dyDescent="0.3">
      <c r="A21">
        <v>20</v>
      </c>
      <c r="B21" s="7">
        <v>41122</v>
      </c>
      <c r="C21" s="4">
        <v>8463.2999999999993</v>
      </c>
      <c r="D21">
        <f t="shared" si="0"/>
        <v>8440.380000000001</v>
      </c>
    </row>
    <row r="22" spans="1:11" x14ac:dyDescent="0.25">
      <c r="A22">
        <v>21</v>
      </c>
      <c r="B22" s="7">
        <v>41153</v>
      </c>
      <c r="C22" s="4">
        <v>8438.5</v>
      </c>
      <c r="D22">
        <f t="shared" si="0"/>
        <v>8470.2440000000006</v>
      </c>
      <c r="F22" s="11" t="s">
        <v>5</v>
      </c>
      <c r="G22" s="11"/>
    </row>
    <row r="23" spans="1:11" x14ac:dyDescent="0.25">
      <c r="A23">
        <v>22</v>
      </c>
      <c r="B23" s="7">
        <v>41183</v>
      </c>
      <c r="C23" s="4">
        <v>8452.2000000000007</v>
      </c>
      <c r="D23">
        <f t="shared" si="0"/>
        <v>8500.1080000000002</v>
      </c>
      <c r="F23" s="8" t="s">
        <v>6</v>
      </c>
      <c r="G23" s="8">
        <v>0.99804394393277474</v>
      </c>
    </row>
    <row r="24" spans="1:11" x14ac:dyDescent="0.25">
      <c r="A24">
        <v>23</v>
      </c>
      <c r="B24" s="7">
        <v>41214</v>
      </c>
      <c r="C24" s="4">
        <v>8510.5</v>
      </c>
      <c r="D24">
        <f t="shared" si="0"/>
        <v>8529.9719999999998</v>
      </c>
      <c r="F24" s="8" t="s">
        <v>7</v>
      </c>
      <c r="G24" s="8">
        <v>0.99609171402088759</v>
      </c>
    </row>
    <row r="25" spans="1:11" x14ac:dyDescent="0.25">
      <c r="A25">
        <v>24</v>
      </c>
      <c r="B25" s="7">
        <v>41244</v>
      </c>
      <c r="C25" s="4">
        <v>8477.6</v>
      </c>
      <c r="D25">
        <f t="shared" si="0"/>
        <v>8559.8360000000011</v>
      </c>
      <c r="F25" s="8" t="s">
        <v>8</v>
      </c>
      <c r="G25" s="8">
        <v>0.99605859295326804</v>
      </c>
    </row>
    <row r="26" spans="1:11" x14ac:dyDescent="0.25">
      <c r="A26">
        <v>25</v>
      </c>
      <c r="B26" s="7">
        <v>41275</v>
      </c>
      <c r="C26" s="4">
        <v>8477.7000000000007</v>
      </c>
      <c r="D26">
        <f t="shared" si="0"/>
        <v>8589.7000000000007</v>
      </c>
      <c r="F26" s="8" t="s">
        <v>9</v>
      </c>
      <c r="G26" s="8">
        <v>65.345507126615416</v>
      </c>
    </row>
    <row r="27" spans="1:11" ht="15.75" thickBot="1" x14ac:dyDescent="0.3">
      <c r="A27">
        <v>26</v>
      </c>
      <c r="B27" s="7">
        <v>41306</v>
      </c>
      <c r="C27" s="4">
        <v>8513.9</v>
      </c>
      <c r="D27">
        <f t="shared" si="0"/>
        <v>8619.5640000000003</v>
      </c>
      <c r="F27" s="9" t="s">
        <v>10</v>
      </c>
      <c r="G27" s="9">
        <v>120</v>
      </c>
    </row>
    <row r="28" spans="1:11" x14ac:dyDescent="0.25">
      <c r="A28">
        <v>27</v>
      </c>
      <c r="B28" s="7">
        <v>41334</v>
      </c>
      <c r="C28" s="4">
        <v>8582.2000000000007</v>
      </c>
      <c r="D28">
        <f t="shared" si="0"/>
        <v>8649.4279999999999</v>
      </c>
    </row>
    <row r="29" spans="1:11" ht="15.75" thickBot="1" x14ac:dyDescent="0.3">
      <c r="A29">
        <v>28</v>
      </c>
      <c r="B29" s="7">
        <v>41365</v>
      </c>
      <c r="C29" s="4">
        <v>8610.2000000000007</v>
      </c>
      <c r="D29">
        <f t="shared" si="0"/>
        <v>8679.2920000000013</v>
      </c>
      <c r="F29" t="s">
        <v>11</v>
      </c>
    </row>
    <row r="30" spans="1:11" x14ac:dyDescent="0.25">
      <c r="A30">
        <v>29</v>
      </c>
      <c r="B30" s="7">
        <v>41395</v>
      </c>
      <c r="C30" s="4">
        <v>8637.7000000000007</v>
      </c>
      <c r="D30">
        <f t="shared" si="0"/>
        <v>8709.1560000000009</v>
      </c>
      <c r="F30" s="10"/>
      <c r="G30" s="10" t="s">
        <v>16</v>
      </c>
      <c r="H30" s="10" t="s">
        <v>17</v>
      </c>
      <c r="I30" s="10" t="s">
        <v>18</v>
      </c>
      <c r="J30" s="10" t="s">
        <v>19</v>
      </c>
      <c r="K30" s="10" t="s">
        <v>20</v>
      </c>
    </row>
    <row r="31" spans="1:11" x14ac:dyDescent="0.25">
      <c r="A31">
        <v>30</v>
      </c>
      <c r="B31" s="7">
        <v>41426</v>
      </c>
      <c r="C31" s="4">
        <v>8731.7000000000007</v>
      </c>
      <c r="D31">
        <f t="shared" si="0"/>
        <v>8739.02</v>
      </c>
      <c r="F31" s="8" t="s">
        <v>12</v>
      </c>
      <c r="G31" s="8">
        <v>1</v>
      </c>
      <c r="H31" s="8">
        <v>128418166.69032377</v>
      </c>
      <c r="I31" s="8">
        <v>128418166.69032377</v>
      </c>
      <c r="J31" s="8">
        <v>30074.263470647653</v>
      </c>
      <c r="K31" s="8">
        <v>6.2102464304262798E-144</v>
      </c>
    </row>
    <row r="32" spans="1:11" x14ac:dyDescent="0.25">
      <c r="A32">
        <v>31</v>
      </c>
      <c r="B32" s="7">
        <v>41456</v>
      </c>
      <c r="C32" s="4">
        <v>8746.5</v>
      </c>
      <c r="D32">
        <f t="shared" si="0"/>
        <v>8768.884</v>
      </c>
      <c r="F32" s="8" t="s">
        <v>13</v>
      </c>
      <c r="G32" s="8">
        <v>118</v>
      </c>
      <c r="H32" s="8">
        <v>503864.1655928765</v>
      </c>
      <c r="I32" s="8">
        <v>4270.0353016345462</v>
      </c>
      <c r="J32" s="8"/>
      <c r="K32" s="8"/>
    </row>
    <row r="33" spans="1:14" ht="15.75" thickBot="1" x14ac:dyDescent="0.3">
      <c r="A33">
        <v>32</v>
      </c>
      <c r="B33" s="7">
        <v>41487</v>
      </c>
      <c r="C33" s="4">
        <v>8765.1</v>
      </c>
      <c r="D33">
        <f t="shared" si="0"/>
        <v>8798.7479999999996</v>
      </c>
      <c r="F33" s="9" t="s">
        <v>14</v>
      </c>
      <c r="G33" s="9">
        <v>119</v>
      </c>
      <c r="H33" s="9">
        <v>128922030.85591665</v>
      </c>
      <c r="I33" s="9"/>
      <c r="J33" s="9"/>
      <c r="K33" s="9"/>
    </row>
    <row r="34" spans="1:14" ht="15.75" thickBot="1" x14ac:dyDescent="0.3">
      <c r="A34">
        <v>33</v>
      </c>
      <c r="B34" s="7">
        <v>41518</v>
      </c>
      <c r="C34" s="4">
        <v>8812.7999999999993</v>
      </c>
      <c r="D34">
        <f t="shared" si="0"/>
        <v>8828.612000000001</v>
      </c>
    </row>
    <row r="35" spans="1:14" x14ac:dyDescent="0.25">
      <c r="A35">
        <v>34</v>
      </c>
      <c r="B35" s="7">
        <v>41548</v>
      </c>
      <c r="C35" s="4">
        <v>8874.4</v>
      </c>
      <c r="D35">
        <f t="shared" si="0"/>
        <v>8858.4760000000006</v>
      </c>
      <c r="F35" s="10"/>
      <c r="G35" s="10" t="s">
        <v>21</v>
      </c>
      <c r="H35" s="10" t="s">
        <v>9</v>
      </c>
      <c r="I35" s="10" t="s">
        <v>22</v>
      </c>
      <c r="J35" s="10" t="s">
        <v>23</v>
      </c>
      <c r="K35" s="10" t="s">
        <v>24</v>
      </c>
      <c r="L35" s="10" t="s">
        <v>25</v>
      </c>
      <c r="M35" s="10" t="s">
        <v>26</v>
      </c>
      <c r="N35" s="10" t="s">
        <v>27</v>
      </c>
    </row>
    <row r="36" spans="1:14" x14ac:dyDescent="0.25">
      <c r="A36">
        <v>35</v>
      </c>
      <c r="B36" s="7">
        <v>41579</v>
      </c>
      <c r="C36" s="4">
        <v>8859.5</v>
      </c>
      <c r="D36">
        <f t="shared" si="0"/>
        <v>8888.34</v>
      </c>
      <c r="F36" s="8" t="s">
        <v>15</v>
      </c>
      <c r="G36" s="8">
        <v>7843.0959523809552</v>
      </c>
      <c r="H36" s="8">
        <v>12.005358909010727</v>
      </c>
      <c r="I36" s="8">
        <v>653.29958161386173</v>
      </c>
      <c r="J36" s="8">
        <v>8.2381993850921674E-212</v>
      </c>
      <c r="K36" s="8">
        <v>7819.3220732908794</v>
      </c>
      <c r="L36" s="8">
        <v>7866.8698314710309</v>
      </c>
      <c r="M36" s="8">
        <v>7819.3220732908794</v>
      </c>
      <c r="N36" s="8">
        <v>7866.8698314710309</v>
      </c>
    </row>
    <row r="37" spans="1:14" ht="15.75" thickBot="1" x14ac:dyDescent="0.3">
      <c r="A37">
        <v>36</v>
      </c>
      <c r="B37" s="7">
        <v>41609</v>
      </c>
      <c r="C37" s="4">
        <v>8842.7000000000007</v>
      </c>
      <c r="D37">
        <f t="shared" si="0"/>
        <v>8918.2039999999997</v>
      </c>
      <c r="F37" s="9" t="s">
        <v>28</v>
      </c>
      <c r="G37" s="9">
        <v>29.863937426210157</v>
      </c>
      <c r="H37" s="9">
        <v>0.17220651064560122</v>
      </c>
      <c r="I37" s="9">
        <v>173.41932842289427</v>
      </c>
      <c r="J37" s="9">
        <v>6.2102464304259259E-144</v>
      </c>
      <c r="K37" s="9">
        <v>29.522921652034544</v>
      </c>
      <c r="L37" s="9">
        <v>30.20495320038577</v>
      </c>
      <c r="M37" s="9">
        <v>29.522921652034544</v>
      </c>
      <c r="N37" s="9">
        <v>30.20495320038577</v>
      </c>
    </row>
    <row r="38" spans="1:14" x14ac:dyDescent="0.25">
      <c r="A38">
        <v>37</v>
      </c>
      <c r="B38" s="7">
        <v>41640</v>
      </c>
      <c r="C38" s="4">
        <v>8933.2000000000007</v>
      </c>
      <c r="D38">
        <f t="shared" si="0"/>
        <v>8948.0680000000011</v>
      </c>
    </row>
    <row r="39" spans="1:14" x14ac:dyDescent="0.25">
      <c r="A39">
        <v>38</v>
      </c>
      <c r="B39" s="7">
        <v>41671</v>
      </c>
      <c r="C39" s="4">
        <v>8972.1</v>
      </c>
      <c r="D39">
        <f t="shared" si="0"/>
        <v>8977.9320000000007</v>
      </c>
    </row>
    <row r="40" spans="1:14" x14ac:dyDescent="0.25">
      <c r="A40">
        <v>39</v>
      </c>
      <c r="B40" s="7">
        <v>41699</v>
      </c>
      <c r="C40" s="4">
        <v>9022.5</v>
      </c>
      <c r="D40">
        <f t="shared" si="0"/>
        <v>9007.7960000000003</v>
      </c>
    </row>
    <row r="41" spans="1:14" x14ac:dyDescent="0.25">
      <c r="A41">
        <v>40</v>
      </c>
      <c r="B41" s="7">
        <v>41730</v>
      </c>
      <c r="C41" s="4">
        <v>9008.4</v>
      </c>
      <c r="D41">
        <f t="shared" si="0"/>
        <v>9037.66</v>
      </c>
      <c r="F41" t="s">
        <v>29</v>
      </c>
    </row>
    <row r="42" spans="1:14" ht="15.75" thickBot="1" x14ac:dyDescent="0.3">
      <c r="A42">
        <v>41</v>
      </c>
      <c r="B42" s="7">
        <v>41760</v>
      </c>
      <c r="C42" s="4">
        <v>9009.7000000000007</v>
      </c>
      <c r="D42">
        <f t="shared" si="0"/>
        <v>9067.5240000000013</v>
      </c>
    </row>
    <row r="43" spans="1:14" x14ac:dyDescent="0.25">
      <c r="A43">
        <v>42</v>
      </c>
      <c r="B43" s="7">
        <v>41791</v>
      </c>
      <c r="C43" s="4">
        <v>9028.2999999999993</v>
      </c>
      <c r="D43">
        <f t="shared" si="0"/>
        <v>9097.3880000000008</v>
      </c>
      <c r="F43" s="10" t="s">
        <v>30</v>
      </c>
      <c r="G43" s="10" t="s">
        <v>31</v>
      </c>
      <c r="H43" s="10" t="s">
        <v>32</v>
      </c>
    </row>
    <row r="44" spans="1:14" x14ac:dyDescent="0.25">
      <c r="A44">
        <v>43</v>
      </c>
      <c r="B44" s="7">
        <v>41821</v>
      </c>
      <c r="C44" s="4">
        <v>9099.2000000000007</v>
      </c>
      <c r="D44">
        <f t="shared" si="0"/>
        <v>9127.2520000000004</v>
      </c>
      <c r="F44" s="8">
        <v>1</v>
      </c>
      <c r="G44" s="8">
        <v>7872.9598898071654</v>
      </c>
      <c r="H44" s="8">
        <v>83.240110192834436</v>
      </c>
    </row>
    <row r="45" spans="1:14" x14ac:dyDescent="0.25">
      <c r="A45">
        <v>44</v>
      </c>
      <c r="B45" s="7">
        <v>41852</v>
      </c>
      <c r="C45" s="4">
        <v>9130.9</v>
      </c>
      <c r="D45">
        <f t="shared" si="0"/>
        <v>9157.116</v>
      </c>
      <c r="F45" s="8">
        <v>2</v>
      </c>
      <c r="G45" s="8">
        <v>7902.8238272333756</v>
      </c>
      <c r="H45" s="8">
        <v>-44.823827233375596</v>
      </c>
    </row>
    <row r="46" spans="1:14" x14ac:dyDescent="0.25">
      <c r="A46">
        <v>45</v>
      </c>
      <c r="B46" s="7">
        <v>41883</v>
      </c>
      <c r="C46" s="4">
        <v>9143.7000000000007</v>
      </c>
      <c r="D46">
        <f t="shared" si="0"/>
        <v>9186.98</v>
      </c>
      <c r="F46" s="8">
        <v>3</v>
      </c>
      <c r="G46" s="8">
        <v>7932.6877646595858</v>
      </c>
      <c r="H46" s="8">
        <v>-13.487764659585991</v>
      </c>
    </row>
    <row r="47" spans="1:14" x14ac:dyDescent="0.25">
      <c r="A47">
        <v>46</v>
      </c>
      <c r="B47" s="7">
        <v>41913</v>
      </c>
      <c r="C47" s="4">
        <v>9156.4</v>
      </c>
      <c r="D47">
        <f t="shared" si="0"/>
        <v>9216.844000000001</v>
      </c>
      <c r="F47" s="8">
        <v>4</v>
      </c>
      <c r="G47" s="8">
        <v>7962.551702085796</v>
      </c>
      <c r="H47" s="8">
        <v>89.54829791420434</v>
      </c>
    </row>
    <row r="48" spans="1:14" x14ac:dyDescent="0.25">
      <c r="A48">
        <v>47</v>
      </c>
      <c r="B48" s="7">
        <v>41944</v>
      </c>
      <c r="C48" s="4">
        <v>9158.7999999999993</v>
      </c>
      <c r="D48">
        <f t="shared" si="0"/>
        <v>9246.7080000000005</v>
      </c>
      <c r="F48" s="8">
        <v>5</v>
      </c>
      <c r="G48" s="8">
        <v>7992.4156395120062</v>
      </c>
      <c r="H48" s="8">
        <v>73.884360487993945</v>
      </c>
    </row>
    <row r="49" spans="1:8" x14ac:dyDescent="0.25">
      <c r="A49">
        <v>48</v>
      </c>
      <c r="B49" s="7">
        <v>41974</v>
      </c>
      <c r="C49" s="4">
        <v>9412</v>
      </c>
      <c r="D49">
        <f t="shared" si="0"/>
        <v>9276.5720000000001</v>
      </c>
      <c r="F49" s="8">
        <v>6</v>
      </c>
      <c r="G49" s="8">
        <v>8022.2795769382165</v>
      </c>
      <c r="H49" s="8">
        <v>44.420423061783367</v>
      </c>
    </row>
    <row r="50" spans="1:8" x14ac:dyDescent="0.25">
      <c r="A50">
        <v>49</v>
      </c>
      <c r="B50" s="7">
        <v>42005</v>
      </c>
      <c r="C50" s="4">
        <v>9506.4</v>
      </c>
      <c r="D50">
        <f t="shared" si="0"/>
        <v>9306.4359999999997</v>
      </c>
      <c r="F50" s="8">
        <v>7</v>
      </c>
      <c r="G50" s="8">
        <v>8052.1435143644267</v>
      </c>
      <c r="H50" s="8">
        <v>34.056485635573154</v>
      </c>
    </row>
    <row r="51" spans="1:8" x14ac:dyDescent="0.25">
      <c r="A51">
        <v>50</v>
      </c>
      <c r="B51" s="7">
        <v>42036</v>
      </c>
      <c r="C51" s="4">
        <v>9413.9</v>
      </c>
      <c r="D51">
        <f t="shared" si="0"/>
        <v>9336.3000000000011</v>
      </c>
      <c r="F51" s="8">
        <v>8</v>
      </c>
      <c r="G51" s="8">
        <v>8082.007451790636</v>
      </c>
      <c r="H51" s="8">
        <v>-29.607451790636333</v>
      </c>
    </row>
    <row r="52" spans="1:8" x14ac:dyDescent="0.25">
      <c r="A52">
        <v>51</v>
      </c>
      <c r="B52" s="7">
        <v>42064</v>
      </c>
      <c r="C52" s="4">
        <v>9453.9</v>
      </c>
      <c r="D52">
        <f t="shared" si="0"/>
        <v>9366.1640000000007</v>
      </c>
      <c r="F52" s="8">
        <v>9</v>
      </c>
      <c r="G52" s="8">
        <v>8111.8713892168462</v>
      </c>
      <c r="H52" s="8">
        <v>-67.471389216846546</v>
      </c>
    </row>
    <row r="53" spans="1:8" x14ac:dyDescent="0.25">
      <c r="A53">
        <v>52</v>
      </c>
      <c r="B53" s="7">
        <v>42095</v>
      </c>
      <c r="C53" s="4">
        <v>9458.2999999999993</v>
      </c>
      <c r="D53">
        <f t="shared" si="0"/>
        <v>9396.0280000000002</v>
      </c>
      <c r="F53" s="8">
        <v>10</v>
      </c>
      <c r="G53" s="8">
        <v>8141.7353266430564</v>
      </c>
      <c r="H53" s="8">
        <v>-64.135326643056032</v>
      </c>
    </row>
    <row r="54" spans="1:8" x14ac:dyDescent="0.25">
      <c r="A54">
        <v>53</v>
      </c>
      <c r="B54" s="7">
        <v>42125</v>
      </c>
      <c r="C54" s="4">
        <v>9495.9</v>
      </c>
      <c r="D54">
        <f t="shared" si="0"/>
        <v>9425.8919999999998</v>
      </c>
      <c r="F54" s="8">
        <v>11</v>
      </c>
      <c r="G54" s="8">
        <v>8171.5992640692666</v>
      </c>
      <c r="H54" s="8">
        <v>-58.299264069266428</v>
      </c>
    </row>
    <row r="55" spans="1:8" x14ac:dyDescent="0.25">
      <c r="A55">
        <v>54</v>
      </c>
      <c r="B55" s="7">
        <v>42156</v>
      </c>
      <c r="C55" s="4">
        <v>9569.2000000000007</v>
      </c>
      <c r="D55">
        <f t="shared" si="0"/>
        <v>9455.7560000000012</v>
      </c>
      <c r="F55" s="8">
        <v>12</v>
      </c>
      <c r="G55" s="8">
        <v>8201.4632014954768</v>
      </c>
      <c r="H55" s="8">
        <v>-77.763201495477006</v>
      </c>
    </row>
    <row r="56" spans="1:8" x14ac:dyDescent="0.25">
      <c r="A56">
        <v>55</v>
      </c>
      <c r="B56" s="7">
        <v>42186</v>
      </c>
      <c r="C56" s="4">
        <v>9604.9</v>
      </c>
      <c r="D56">
        <f t="shared" si="0"/>
        <v>9485.6200000000008</v>
      </c>
      <c r="F56" s="8">
        <v>13</v>
      </c>
      <c r="G56" s="8">
        <v>8231.3271389216879</v>
      </c>
      <c r="H56" s="8">
        <v>43.772861078312417</v>
      </c>
    </row>
    <row r="57" spans="1:8" x14ac:dyDescent="0.25">
      <c r="A57">
        <v>56</v>
      </c>
      <c r="B57" s="7">
        <v>42217</v>
      </c>
      <c r="C57" s="4">
        <v>9645.7000000000007</v>
      </c>
      <c r="D57">
        <f t="shared" si="0"/>
        <v>9515.4840000000004</v>
      </c>
      <c r="F57" s="8">
        <v>14</v>
      </c>
      <c r="G57" s="8">
        <v>8261.1910763478973</v>
      </c>
      <c r="H57" s="8">
        <v>35.908923652103113</v>
      </c>
    </row>
    <row r="58" spans="1:8" x14ac:dyDescent="0.25">
      <c r="A58">
        <v>57</v>
      </c>
      <c r="B58" s="7">
        <v>42248</v>
      </c>
      <c r="C58" s="4">
        <v>9674.7999999999993</v>
      </c>
      <c r="D58">
        <f t="shared" si="0"/>
        <v>9545.348</v>
      </c>
      <c r="F58" s="8">
        <v>15</v>
      </c>
      <c r="G58" s="8">
        <v>8291.0550137741084</v>
      </c>
      <c r="H58" s="8">
        <v>-35.855013774107647</v>
      </c>
    </row>
    <row r="59" spans="1:8" x14ac:dyDescent="0.25">
      <c r="A59">
        <v>58</v>
      </c>
      <c r="B59" s="7">
        <v>42278</v>
      </c>
      <c r="C59" s="4">
        <v>9705.2000000000007</v>
      </c>
      <c r="D59">
        <f t="shared" si="0"/>
        <v>9575.2119999999995</v>
      </c>
      <c r="F59" s="8">
        <v>16</v>
      </c>
      <c r="G59" s="8">
        <v>8320.9189512003177</v>
      </c>
      <c r="H59" s="8">
        <v>-28.318951200317315</v>
      </c>
    </row>
    <row r="60" spans="1:8" x14ac:dyDescent="0.25">
      <c r="A60">
        <v>59</v>
      </c>
      <c r="B60" s="7">
        <v>42309</v>
      </c>
      <c r="C60" s="4">
        <v>9742.9</v>
      </c>
      <c r="D60">
        <f t="shared" si="0"/>
        <v>9605.0760000000009</v>
      </c>
      <c r="F60" s="8">
        <v>17</v>
      </c>
      <c r="G60" s="8">
        <v>8350.782888626527</v>
      </c>
      <c r="H60" s="8">
        <v>-39.782888626526983</v>
      </c>
    </row>
    <row r="61" spans="1:8" x14ac:dyDescent="0.25">
      <c r="A61">
        <v>60</v>
      </c>
      <c r="B61" s="7">
        <v>42339</v>
      </c>
      <c r="C61" s="4">
        <v>9733.1</v>
      </c>
      <c r="D61">
        <f t="shared" si="0"/>
        <v>9634.94</v>
      </c>
      <c r="F61" s="8">
        <v>18</v>
      </c>
      <c r="G61" s="8">
        <v>8380.6468260527381</v>
      </c>
      <c r="H61" s="8">
        <v>-46.146826052738106</v>
      </c>
    </row>
    <row r="62" spans="1:8" x14ac:dyDescent="0.25">
      <c r="A62">
        <v>61</v>
      </c>
      <c r="B62" s="7">
        <v>42370</v>
      </c>
      <c r="C62" s="4">
        <v>9724.7000000000007</v>
      </c>
      <c r="D62">
        <f t="shared" si="0"/>
        <v>9664.8040000000001</v>
      </c>
      <c r="F62" s="8">
        <v>19</v>
      </c>
      <c r="G62" s="8">
        <v>8410.5107634789474</v>
      </c>
      <c r="H62" s="8">
        <v>19.48923652105259</v>
      </c>
    </row>
    <row r="63" spans="1:8" x14ac:dyDescent="0.25">
      <c r="A63">
        <v>62</v>
      </c>
      <c r="B63" s="7">
        <v>42401</v>
      </c>
      <c r="C63" s="4">
        <v>9801.1</v>
      </c>
      <c r="D63">
        <f t="shared" si="0"/>
        <v>9694.6679999999997</v>
      </c>
      <c r="F63" s="8">
        <v>20</v>
      </c>
      <c r="G63" s="8">
        <v>8440.3747009051585</v>
      </c>
      <c r="H63" s="8">
        <v>22.925299094840739</v>
      </c>
    </row>
    <row r="64" spans="1:8" x14ac:dyDescent="0.25">
      <c r="A64">
        <v>63</v>
      </c>
      <c r="B64" s="7">
        <v>42430</v>
      </c>
      <c r="C64" s="4">
        <v>9798.2999999999993</v>
      </c>
      <c r="D64">
        <f t="shared" si="0"/>
        <v>9724.5320000000011</v>
      </c>
      <c r="F64" s="8">
        <v>21</v>
      </c>
      <c r="G64" s="8">
        <v>8470.2386383313678</v>
      </c>
      <c r="H64" s="8">
        <v>-31.738638331367838</v>
      </c>
    </row>
    <row r="65" spans="1:8" x14ac:dyDescent="0.25">
      <c r="A65">
        <v>64</v>
      </c>
      <c r="B65" s="7">
        <v>42461</v>
      </c>
      <c r="C65" s="4">
        <v>9813.7000000000007</v>
      </c>
      <c r="D65">
        <f t="shared" si="0"/>
        <v>9754.3960000000006</v>
      </c>
      <c r="F65" s="8">
        <v>22</v>
      </c>
      <c r="G65" s="8">
        <v>8500.102575757579</v>
      </c>
      <c r="H65" s="8">
        <v>-47.902575757578234</v>
      </c>
    </row>
    <row r="66" spans="1:8" x14ac:dyDescent="0.25">
      <c r="A66">
        <v>65</v>
      </c>
      <c r="B66" s="7">
        <v>42491</v>
      </c>
      <c r="C66" s="4">
        <v>9867.7000000000007</v>
      </c>
      <c r="D66">
        <f t="shared" si="0"/>
        <v>9784.26</v>
      </c>
      <c r="F66" s="8">
        <v>23</v>
      </c>
      <c r="G66" s="8">
        <v>8529.9665131837883</v>
      </c>
      <c r="H66" s="8">
        <v>-19.466513183788265</v>
      </c>
    </row>
    <row r="67" spans="1:8" x14ac:dyDescent="0.25">
      <c r="A67">
        <v>66</v>
      </c>
      <c r="B67" s="7">
        <v>42522</v>
      </c>
      <c r="C67" s="4">
        <v>9894.4</v>
      </c>
      <c r="D67">
        <f t="shared" ref="D67:D130" si="1">29.864*A67 + 7843.1</f>
        <v>9814.1239999999998</v>
      </c>
      <c r="F67" s="8">
        <v>24</v>
      </c>
      <c r="G67" s="8">
        <v>8559.8304506099994</v>
      </c>
      <c r="H67" s="8">
        <v>-82.230450609999025</v>
      </c>
    </row>
    <row r="68" spans="1:8" x14ac:dyDescent="0.25">
      <c r="A68">
        <v>67</v>
      </c>
      <c r="B68" s="7">
        <v>42552</v>
      </c>
      <c r="C68" s="4">
        <v>9886.4</v>
      </c>
      <c r="D68">
        <f t="shared" si="1"/>
        <v>9843.9880000000012</v>
      </c>
      <c r="F68" s="8">
        <v>25</v>
      </c>
      <c r="G68" s="8">
        <v>8589.6943880362087</v>
      </c>
      <c r="H68" s="8">
        <v>-111.99438803620797</v>
      </c>
    </row>
    <row r="69" spans="1:8" x14ac:dyDescent="0.25">
      <c r="A69">
        <v>68</v>
      </c>
      <c r="B69" s="7">
        <v>42583</v>
      </c>
      <c r="C69" s="4">
        <v>9923</v>
      </c>
      <c r="D69">
        <f t="shared" si="1"/>
        <v>9873.8520000000008</v>
      </c>
      <c r="F69" s="8">
        <v>26</v>
      </c>
      <c r="G69" s="8">
        <v>8619.5583254624198</v>
      </c>
      <c r="H69" s="8">
        <v>-105.65832546242018</v>
      </c>
    </row>
    <row r="70" spans="1:8" x14ac:dyDescent="0.25">
      <c r="A70">
        <v>69</v>
      </c>
      <c r="B70" s="7">
        <v>42614</v>
      </c>
      <c r="C70" s="4">
        <v>9942.5</v>
      </c>
      <c r="D70">
        <f t="shared" si="1"/>
        <v>9903.7160000000003</v>
      </c>
      <c r="F70" s="8">
        <v>27</v>
      </c>
      <c r="G70" s="8">
        <v>8649.4222628886291</v>
      </c>
      <c r="H70" s="8">
        <v>-67.222262888628393</v>
      </c>
    </row>
    <row r="71" spans="1:8" x14ac:dyDescent="0.25">
      <c r="A71">
        <v>70</v>
      </c>
      <c r="B71" s="7">
        <v>42644</v>
      </c>
      <c r="C71" s="4">
        <v>10013.5</v>
      </c>
      <c r="D71">
        <f t="shared" si="1"/>
        <v>9933.58</v>
      </c>
      <c r="F71" s="8">
        <v>28</v>
      </c>
      <c r="G71" s="8">
        <v>8679.2862003148402</v>
      </c>
      <c r="H71" s="8">
        <v>-69.086200314839516</v>
      </c>
    </row>
    <row r="72" spans="1:8" x14ac:dyDescent="0.25">
      <c r="A72">
        <v>71</v>
      </c>
      <c r="B72" s="7">
        <v>42675</v>
      </c>
      <c r="C72" s="4">
        <v>10038.299999999999</v>
      </c>
      <c r="D72">
        <f t="shared" si="1"/>
        <v>9963.4439999999995</v>
      </c>
      <c r="F72" s="8">
        <v>29</v>
      </c>
      <c r="G72" s="8">
        <v>8709.1501377410495</v>
      </c>
      <c r="H72" s="8">
        <v>-71.45013774104882</v>
      </c>
    </row>
    <row r="73" spans="1:8" x14ac:dyDescent="0.25">
      <c r="A73">
        <v>72</v>
      </c>
      <c r="B73" s="7">
        <v>42705</v>
      </c>
      <c r="C73" s="4">
        <v>10057.9</v>
      </c>
      <c r="D73">
        <f t="shared" si="1"/>
        <v>9993.3080000000009</v>
      </c>
      <c r="F73" s="8">
        <v>30</v>
      </c>
      <c r="G73" s="8">
        <v>8739.0140751672607</v>
      </c>
      <c r="H73" s="8">
        <v>-7.3140751672599436</v>
      </c>
    </row>
    <row r="74" spans="1:8" x14ac:dyDescent="0.25">
      <c r="A74">
        <v>73</v>
      </c>
      <c r="B74" s="7">
        <v>42736</v>
      </c>
      <c r="C74" s="4">
        <v>10054.9</v>
      </c>
      <c r="D74">
        <f t="shared" si="1"/>
        <v>10023.172</v>
      </c>
      <c r="F74" s="8">
        <v>31</v>
      </c>
      <c r="G74" s="8">
        <v>8768.87801259347</v>
      </c>
      <c r="H74" s="8">
        <v>-22.378012593469975</v>
      </c>
    </row>
    <row r="75" spans="1:8" x14ac:dyDescent="0.25">
      <c r="A75">
        <v>74</v>
      </c>
      <c r="B75" s="7">
        <v>42767</v>
      </c>
      <c r="C75" s="4">
        <v>10041.5</v>
      </c>
      <c r="D75">
        <f t="shared" si="1"/>
        <v>10053.036</v>
      </c>
      <c r="F75" s="8">
        <v>32</v>
      </c>
      <c r="G75" s="8">
        <v>8798.7419500196811</v>
      </c>
      <c r="H75" s="8">
        <v>-33.641950019680735</v>
      </c>
    </row>
    <row r="76" spans="1:8" x14ac:dyDescent="0.25">
      <c r="A76">
        <v>75</v>
      </c>
      <c r="B76" s="7">
        <v>42795</v>
      </c>
      <c r="C76" s="4">
        <v>10082</v>
      </c>
      <c r="D76">
        <f t="shared" si="1"/>
        <v>10082.900000000001</v>
      </c>
      <c r="F76" s="8">
        <v>33</v>
      </c>
      <c r="G76" s="8">
        <v>8828.6058874458904</v>
      </c>
      <c r="H76" s="8">
        <v>-15.80588744589113</v>
      </c>
    </row>
    <row r="77" spans="1:8" x14ac:dyDescent="0.25">
      <c r="A77">
        <v>76</v>
      </c>
      <c r="B77" s="7">
        <v>42826</v>
      </c>
      <c r="C77" s="4">
        <v>10035.9</v>
      </c>
      <c r="D77">
        <f t="shared" si="1"/>
        <v>10112.764000000001</v>
      </c>
      <c r="F77" s="8">
        <v>34</v>
      </c>
      <c r="G77" s="8">
        <v>8858.4698248720997</v>
      </c>
      <c r="H77" s="8">
        <v>15.930175127899929</v>
      </c>
    </row>
    <row r="78" spans="1:8" x14ac:dyDescent="0.25">
      <c r="A78">
        <v>77</v>
      </c>
      <c r="B78" s="7">
        <v>42856</v>
      </c>
      <c r="C78" s="4">
        <v>10091.6</v>
      </c>
      <c r="D78">
        <f t="shared" si="1"/>
        <v>10142.628000000001</v>
      </c>
      <c r="F78" s="8">
        <v>35</v>
      </c>
      <c r="G78" s="8">
        <v>8888.3337622983108</v>
      </c>
      <c r="H78" s="8">
        <v>-28.83376229831083</v>
      </c>
    </row>
    <row r="79" spans="1:8" x14ac:dyDescent="0.25">
      <c r="A79">
        <v>78</v>
      </c>
      <c r="B79" s="7">
        <v>42887</v>
      </c>
      <c r="C79" s="4">
        <v>10101.200000000001</v>
      </c>
      <c r="D79">
        <f t="shared" si="1"/>
        <v>10172.492</v>
      </c>
      <c r="F79" s="8">
        <v>36</v>
      </c>
      <c r="G79" s="8">
        <v>8918.1976997245201</v>
      </c>
      <c r="H79" s="8">
        <v>-75.497699724519407</v>
      </c>
    </row>
    <row r="80" spans="1:8" x14ac:dyDescent="0.25">
      <c r="A80">
        <v>79</v>
      </c>
      <c r="B80" s="7">
        <v>42917</v>
      </c>
      <c r="C80" s="4">
        <v>10114</v>
      </c>
      <c r="D80">
        <f t="shared" si="1"/>
        <v>10202.356</v>
      </c>
      <c r="F80" s="8">
        <v>37</v>
      </c>
      <c r="G80" s="8">
        <v>8948.0616371507313</v>
      </c>
      <c r="H80" s="8">
        <v>-14.86163715073053</v>
      </c>
    </row>
    <row r="81" spans="1:8" x14ac:dyDescent="0.25">
      <c r="A81">
        <v>80</v>
      </c>
      <c r="B81" s="7">
        <v>42948</v>
      </c>
      <c r="C81" s="4">
        <v>10213.9</v>
      </c>
      <c r="D81">
        <f t="shared" si="1"/>
        <v>10232.220000000001</v>
      </c>
      <c r="F81" s="8">
        <v>38</v>
      </c>
      <c r="G81" s="8">
        <v>8977.9255745769406</v>
      </c>
      <c r="H81" s="8">
        <v>-5.8255745769401983</v>
      </c>
    </row>
    <row r="82" spans="1:8" x14ac:dyDescent="0.25">
      <c r="A82">
        <v>81</v>
      </c>
      <c r="B82" s="7">
        <v>42979</v>
      </c>
      <c r="C82" s="4">
        <v>10264.4</v>
      </c>
      <c r="D82">
        <f t="shared" si="1"/>
        <v>10262.084000000001</v>
      </c>
      <c r="F82" s="8">
        <v>39</v>
      </c>
      <c r="G82" s="8">
        <v>9007.7895120031517</v>
      </c>
      <c r="H82" s="8">
        <v>14.710487996848315</v>
      </c>
    </row>
    <row r="83" spans="1:8" x14ac:dyDescent="0.25">
      <c r="A83">
        <v>82</v>
      </c>
      <c r="B83" s="7">
        <v>43009</v>
      </c>
      <c r="C83" s="4">
        <v>10265.9</v>
      </c>
      <c r="D83">
        <f t="shared" si="1"/>
        <v>10291.948</v>
      </c>
      <c r="F83" s="8">
        <v>40</v>
      </c>
      <c r="G83" s="8">
        <v>9037.653449429361</v>
      </c>
      <c r="H83" s="8">
        <v>-29.253449429361353</v>
      </c>
    </row>
    <row r="84" spans="1:8" x14ac:dyDescent="0.25">
      <c r="A84">
        <v>83</v>
      </c>
      <c r="B84" s="7">
        <v>43040</v>
      </c>
      <c r="C84" s="4">
        <v>10342.700000000001</v>
      </c>
      <c r="D84">
        <f t="shared" si="1"/>
        <v>10321.812</v>
      </c>
      <c r="F84" s="8">
        <v>41</v>
      </c>
      <c r="G84" s="8">
        <v>9067.5173868555721</v>
      </c>
      <c r="H84" s="8">
        <v>-57.817386855571385</v>
      </c>
    </row>
    <row r="85" spans="1:8" x14ac:dyDescent="0.25">
      <c r="A85">
        <v>84</v>
      </c>
      <c r="B85" s="7">
        <v>43070</v>
      </c>
      <c r="C85" s="4">
        <v>10351.799999999999</v>
      </c>
      <c r="D85">
        <f t="shared" si="1"/>
        <v>10351.675999999999</v>
      </c>
      <c r="F85" s="8">
        <v>42</v>
      </c>
      <c r="G85" s="8">
        <v>9097.3813242817814</v>
      </c>
      <c r="H85" s="8">
        <v>-69.081324281782145</v>
      </c>
    </row>
    <row r="86" spans="1:8" x14ac:dyDescent="0.25">
      <c r="A86">
        <v>85</v>
      </c>
      <c r="B86" s="7">
        <v>43101</v>
      </c>
      <c r="C86" s="4">
        <v>10394.4</v>
      </c>
      <c r="D86">
        <f t="shared" si="1"/>
        <v>10381.540000000001</v>
      </c>
      <c r="F86" s="8">
        <v>43</v>
      </c>
      <c r="G86" s="8">
        <v>9127.2452617079925</v>
      </c>
      <c r="H86" s="8">
        <v>-28.045261707991813</v>
      </c>
    </row>
    <row r="87" spans="1:8" x14ac:dyDescent="0.25">
      <c r="A87">
        <v>86</v>
      </c>
      <c r="B87" s="7">
        <v>43132</v>
      </c>
      <c r="C87" s="4">
        <v>10402.200000000001</v>
      </c>
      <c r="D87">
        <f t="shared" si="1"/>
        <v>10411.404</v>
      </c>
      <c r="F87" s="8">
        <v>44</v>
      </c>
      <c r="G87" s="8">
        <v>9157.1091991342018</v>
      </c>
      <c r="H87" s="8">
        <v>-26.209199134202208</v>
      </c>
    </row>
    <row r="88" spans="1:8" x14ac:dyDescent="0.25">
      <c r="A88">
        <v>87</v>
      </c>
      <c r="B88" s="7">
        <v>43160</v>
      </c>
      <c r="C88" s="4">
        <v>10371.299999999999</v>
      </c>
      <c r="D88">
        <f t="shared" si="1"/>
        <v>10441.268</v>
      </c>
      <c r="F88" s="8">
        <v>45</v>
      </c>
      <c r="G88" s="8">
        <v>9186.973136560413</v>
      </c>
      <c r="H88" s="8">
        <v>-43.27313656041224</v>
      </c>
    </row>
    <row r="89" spans="1:8" x14ac:dyDescent="0.25">
      <c r="A89">
        <v>88</v>
      </c>
      <c r="B89" s="7">
        <v>43191</v>
      </c>
      <c r="C89" s="4">
        <v>10434.200000000001</v>
      </c>
      <c r="D89">
        <f t="shared" si="1"/>
        <v>10471.132000000001</v>
      </c>
      <c r="F89" s="8">
        <v>46</v>
      </c>
      <c r="G89" s="8">
        <v>9216.8370739866223</v>
      </c>
      <c r="H89" s="8">
        <v>-60.437073986622636</v>
      </c>
    </row>
    <row r="90" spans="1:8" x14ac:dyDescent="0.25">
      <c r="A90">
        <v>89</v>
      </c>
      <c r="B90" s="7">
        <v>43221</v>
      </c>
      <c r="C90" s="4">
        <v>10458.799999999999</v>
      </c>
      <c r="D90">
        <f t="shared" si="1"/>
        <v>10500.996000000001</v>
      </c>
      <c r="F90" s="8">
        <v>47</v>
      </c>
      <c r="G90" s="8">
        <v>9246.7010114128316</v>
      </c>
      <c r="H90" s="8">
        <v>-87.901011412832304</v>
      </c>
    </row>
    <row r="91" spans="1:8" x14ac:dyDescent="0.25">
      <c r="A91">
        <v>90</v>
      </c>
      <c r="B91" s="7">
        <v>43252</v>
      </c>
      <c r="C91" s="4">
        <v>10477.9</v>
      </c>
      <c r="D91">
        <f t="shared" si="1"/>
        <v>10530.86</v>
      </c>
      <c r="F91" s="8">
        <v>48</v>
      </c>
      <c r="G91" s="8">
        <v>9276.5649488390427</v>
      </c>
      <c r="H91" s="8">
        <v>135.4350511609573</v>
      </c>
    </row>
    <row r="92" spans="1:8" x14ac:dyDescent="0.25">
      <c r="A92">
        <v>91</v>
      </c>
      <c r="B92" s="7">
        <v>43282</v>
      </c>
      <c r="C92" s="4">
        <v>10493.5</v>
      </c>
      <c r="D92">
        <f t="shared" si="1"/>
        <v>10560.724</v>
      </c>
      <c r="F92" s="8">
        <v>49</v>
      </c>
      <c r="G92" s="8">
        <v>9306.4288862652538</v>
      </c>
      <c r="H92" s="8">
        <v>199.97111373474581</v>
      </c>
    </row>
    <row r="93" spans="1:8" x14ac:dyDescent="0.25">
      <c r="A93">
        <v>92</v>
      </c>
      <c r="B93" s="7">
        <v>43313</v>
      </c>
      <c r="C93" s="4">
        <v>10462.799999999999</v>
      </c>
      <c r="D93">
        <f t="shared" si="1"/>
        <v>10590.588</v>
      </c>
      <c r="F93" s="8">
        <v>50</v>
      </c>
      <c r="G93" s="8">
        <v>9336.2928236914631</v>
      </c>
      <c r="H93" s="8">
        <v>77.607176308536509</v>
      </c>
    </row>
    <row r="94" spans="1:8" x14ac:dyDescent="0.25">
      <c r="A94">
        <v>93</v>
      </c>
      <c r="B94" s="7">
        <v>43344</v>
      </c>
      <c r="C94" s="4">
        <v>10548.3</v>
      </c>
      <c r="D94">
        <f t="shared" si="1"/>
        <v>10620.452000000001</v>
      </c>
      <c r="F94" s="8">
        <v>51</v>
      </c>
      <c r="G94" s="8">
        <v>9366.1567611176724</v>
      </c>
      <c r="H94" s="8">
        <v>87.743238882327205</v>
      </c>
    </row>
    <row r="95" spans="1:8" x14ac:dyDescent="0.25">
      <c r="A95">
        <v>94</v>
      </c>
      <c r="B95" s="7">
        <v>43374</v>
      </c>
      <c r="C95" s="4">
        <v>10574.4</v>
      </c>
      <c r="D95">
        <f t="shared" si="1"/>
        <v>10650.316000000001</v>
      </c>
      <c r="F95" s="8">
        <v>52</v>
      </c>
      <c r="G95" s="8">
        <v>9396.0206985438836</v>
      </c>
      <c r="H95" s="8">
        <v>62.279301456115718</v>
      </c>
    </row>
    <row r="96" spans="1:8" x14ac:dyDescent="0.25">
      <c r="A96">
        <v>95</v>
      </c>
      <c r="B96" s="7">
        <v>43405</v>
      </c>
      <c r="C96" s="4">
        <v>10573</v>
      </c>
      <c r="D96">
        <f t="shared" si="1"/>
        <v>10680.18</v>
      </c>
      <c r="F96" s="8">
        <v>53</v>
      </c>
      <c r="G96" s="8">
        <v>9425.8846359700929</v>
      </c>
      <c r="H96" s="8">
        <v>70.015364029906777</v>
      </c>
    </row>
    <row r="97" spans="1:8" x14ac:dyDescent="0.25">
      <c r="A97">
        <v>96</v>
      </c>
      <c r="B97" s="7">
        <v>43435</v>
      </c>
      <c r="C97" s="4">
        <v>10662.2</v>
      </c>
      <c r="D97">
        <f t="shared" si="1"/>
        <v>10710.044</v>
      </c>
      <c r="F97" s="8">
        <v>54</v>
      </c>
      <c r="G97" s="8">
        <v>9455.748573396304</v>
      </c>
      <c r="H97" s="8">
        <v>113.45142660369675</v>
      </c>
    </row>
    <row r="98" spans="1:8" x14ac:dyDescent="0.25">
      <c r="A98">
        <v>97</v>
      </c>
      <c r="B98" s="7">
        <v>43466</v>
      </c>
      <c r="C98" s="4">
        <v>10658</v>
      </c>
      <c r="D98">
        <f t="shared" si="1"/>
        <v>10739.907999999999</v>
      </c>
      <c r="F98" s="8">
        <v>55</v>
      </c>
      <c r="G98" s="8">
        <v>9485.6125108225133</v>
      </c>
      <c r="H98" s="8">
        <v>119.28748917748635</v>
      </c>
    </row>
    <row r="99" spans="1:8" x14ac:dyDescent="0.25">
      <c r="A99">
        <v>98</v>
      </c>
      <c r="B99" s="7">
        <v>43497</v>
      </c>
      <c r="C99" s="4">
        <v>10674.7</v>
      </c>
      <c r="D99">
        <f t="shared" si="1"/>
        <v>10769.772000000001</v>
      </c>
      <c r="F99" s="8">
        <v>56</v>
      </c>
      <c r="G99" s="8">
        <v>9515.4764482487244</v>
      </c>
      <c r="H99" s="8">
        <v>130.22355175127632</v>
      </c>
    </row>
    <row r="100" spans="1:8" x14ac:dyDescent="0.25">
      <c r="A100">
        <v>99</v>
      </c>
      <c r="B100" s="7">
        <v>43525</v>
      </c>
      <c r="C100" s="4">
        <v>10771.8</v>
      </c>
      <c r="D100">
        <f t="shared" si="1"/>
        <v>10799.636</v>
      </c>
      <c r="F100" s="8">
        <v>57</v>
      </c>
      <c r="G100" s="8">
        <v>9545.3403856749337</v>
      </c>
      <c r="H100" s="8">
        <v>129.45961432506556</v>
      </c>
    </row>
    <row r="101" spans="1:8" x14ac:dyDescent="0.25">
      <c r="A101">
        <v>100</v>
      </c>
      <c r="B101" s="7">
        <v>43556</v>
      </c>
      <c r="C101" s="4">
        <v>10821.2</v>
      </c>
      <c r="D101">
        <f t="shared" si="1"/>
        <v>10829.5</v>
      </c>
      <c r="F101" s="8">
        <v>58</v>
      </c>
      <c r="G101" s="8">
        <v>9575.2043231011448</v>
      </c>
      <c r="H101" s="8">
        <v>129.99567689885589</v>
      </c>
    </row>
    <row r="102" spans="1:8" x14ac:dyDescent="0.25">
      <c r="A102">
        <v>101</v>
      </c>
      <c r="B102" s="7">
        <v>43586</v>
      </c>
      <c r="C102" s="4">
        <v>10851.5</v>
      </c>
      <c r="D102">
        <f t="shared" si="1"/>
        <v>10859.364000000001</v>
      </c>
      <c r="F102" s="8">
        <v>59</v>
      </c>
      <c r="G102" s="8">
        <v>9605.0682605273541</v>
      </c>
      <c r="H102" s="8">
        <v>137.83173947264549</v>
      </c>
    </row>
    <row r="103" spans="1:8" x14ac:dyDescent="0.25">
      <c r="A103">
        <v>102</v>
      </c>
      <c r="B103" s="7">
        <v>43617</v>
      </c>
      <c r="C103" s="4">
        <v>10896.4</v>
      </c>
      <c r="D103">
        <f t="shared" si="1"/>
        <v>10889.228000000001</v>
      </c>
      <c r="F103" s="8">
        <v>60</v>
      </c>
      <c r="G103" s="8">
        <v>9634.9321979535653</v>
      </c>
      <c r="H103" s="8">
        <v>98.167802046435099</v>
      </c>
    </row>
    <row r="104" spans="1:8" x14ac:dyDescent="0.25">
      <c r="A104">
        <v>103</v>
      </c>
      <c r="B104" s="7">
        <v>43647</v>
      </c>
      <c r="C104" s="4">
        <v>10926.6</v>
      </c>
      <c r="D104">
        <f t="shared" si="1"/>
        <v>10919.092000000001</v>
      </c>
      <c r="F104" s="8">
        <v>61</v>
      </c>
      <c r="G104" s="8">
        <v>9664.7961353797746</v>
      </c>
      <c r="H104" s="8">
        <v>59.903864620226159</v>
      </c>
    </row>
    <row r="105" spans="1:8" x14ac:dyDescent="0.25">
      <c r="A105">
        <v>104</v>
      </c>
      <c r="B105" s="7">
        <v>43678</v>
      </c>
      <c r="C105" s="4">
        <v>10937.9</v>
      </c>
      <c r="D105">
        <f t="shared" si="1"/>
        <v>10948.956</v>
      </c>
      <c r="F105" s="8">
        <v>62</v>
      </c>
      <c r="G105" s="8">
        <v>9694.6600728059857</v>
      </c>
      <c r="H105" s="8">
        <v>106.43992719401467</v>
      </c>
    </row>
    <row r="106" spans="1:8" x14ac:dyDescent="0.25">
      <c r="A106">
        <v>105</v>
      </c>
      <c r="B106" s="7">
        <v>43709</v>
      </c>
      <c r="C106" s="4">
        <v>10976.2</v>
      </c>
      <c r="D106">
        <f t="shared" si="1"/>
        <v>10978.82</v>
      </c>
      <c r="F106" s="8">
        <v>63</v>
      </c>
      <c r="G106" s="8">
        <v>9724.524010232195</v>
      </c>
      <c r="H106" s="8">
        <v>73.775989767804276</v>
      </c>
    </row>
    <row r="107" spans="1:8" x14ac:dyDescent="0.25">
      <c r="A107">
        <v>106</v>
      </c>
      <c r="B107" s="7">
        <v>43739</v>
      </c>
      <c r="C107" s="4">
        <v>10990</v>
      </c>
      <c r="D107">
        <f t="shared" si="1"/>
        <v>11008.684000000001</v>
      </c>
      <c r="F107" s="8">
        <v>64</v>
      </c>
      <c r="G107" s="8">
        <v>9754.3879476584043</v>
      </c>
      <c r="H107" s="8">
        <v>59.312052341596427</v>
      </c>
    </row>
    <row r="108" spans="1:8" x14ac:dyDescent="0.25">
      <c r="A108">
        <v>107</v>
      </c>
      <c r="B108" s="7">
        <v>43770</v>
      </c>
      <c r="C108" s="4">
        <v>11019</v>
      </c>
      <c r="D108">
        <f t="shared" si="1"/>
        <v>11038.548000000001</v>
      </c>
      <c r="F108" s="8">
        <v>65</v>
      </c>
      <c r="G108" s="8">
        <v>9784.2518850846154</v>
      </c>
      <c r="H108" s="8">
        <v>83.448114915385304</v>
      </c>
    </row>
    <row r="109" spans="1:8" x14ac:dyDescent="0.25">
      <c r="A109">
        <v>108</v>
      </c>
      <c r="B109" s="7">
        <v>43800</v>
      </c>
      <c r="C109" s="4">
        <v>11073.2</v>
      </c>
      <c r="D109">
        <f t="shared" si="1"/>
        <v>11068.412</v>
      </c>
      <c r="F109" s="8">
        <v>66</v>
      </c>
      <c r="G109" s="8">
        <v>9814.1158225108265</v>
      </c>
      <c r="H109" s="8">
        <v>80.284177489173089</v>
      </c>
    </row>
    <row r="110" spans="1:8" x14ac:dyDescent="0.25">
      <c r="A110">
        <v>109</v>
      </c>
      <c r="B110" s="7">
        <v>43831</v>
      </c>
      <c r="C110" s="4">
        <v>11112.5</v>
      </c>
      <c r="D110">
        <f t="shared" si="1"/>
        <v>11098.276</v>
      </c>
      <c r="F110" s="8">
        <v>67</v>
      </c>
      <c r="G110" s="8">
        <v>9843.9797599370359</v>
      </c>
      <c r="H110" s="8">
        <v>42.420240062963785</v>
      </c>
    </row>
    <row r="111" spans="1:8" x14ac:dyDescent="0.25">
      <c r="A111">
        <v>110</v>
      </c>
      <c r="B111" s="7">
        <v>43862</v>
      </c>
      <c r="C111" s="4">
        <v>11197.5</v>
      </c>
      <c r="D111">
        <f t="shared" si="1"/>
        <v>11128.14</v>
      </c>
      <c r="F111" s="8">
        <v>68</v>
      </c>
      <c r="G111" s="8">
        <v>9873.8436973632452</v>
      </c>
      <c r="H111" s="8">
        <v>49.156302636754845</v>
      </c>
    </row>
    <row r="112" spans="1:8" x14ac:dyDescent="0.25">
      <c r="A112">
        <v>111</v>
      </c>
      <c r="B112" s="7">
        <v>43891</v>
      </c>
      <c r="C112" s="4">
        <v>11257.5</v>
      </c>
      <c r="D112">
        <f t="shared" si="1"/>
        <v>11158.004000000001</v>
      </c>
      <c r="F112" s="8">
        <v>69</v>
      </c>
      <c r="G112" s="8">
        <v>9903.7076347894563</v>
      </c>
      <c r="H112" s="8">
        <v>38.792365210543721</v>
      </c>
    </row>
    <row r="113" spans="1:8" x14ac:dyDescent="0.25">
      <c r="A113">
        <v>112</v>
      </c>
      <c r="B113" s="7">
        <v>43922</v>
      </c>
      <c r="C113" s="4">
        <v>11252.6</v>
      </c>
      <c r="D113">
        <f t="shared" si="1"/>
        <v>11187.868</v>
      </c>
      <c r="F113" s="8">
        <v>70</v>
      </c>
      <c r="G113" s="8">
        <v>9933.5715722156656</v>
      </c>
      <c r="H113" s="8">
        <v>79.928427784334417</v>
      </c>
    </row>
    <row r="114" spans="1:8" x14ac:dyDescent="0.25">
      <c r="A114">
        <v>113</v>
      </c>
      <c r="B114" s="7">
        <v>43952</v>
      </c>
      <c r="C114" s="4">
        <v>11230.1</v>
      </c>
      <c r="D114">
        <f t="shared" si="1"/>
        <v>11217.732</v>
      </c>
      <c r="F114" s="8">
        <v>71</v>
      </c>
      <c r="G114" s="8">
        <v>9963.4355096418767</v>
      </c>
      <c r="H114" s="8">
        <v>74.864490358122566</v>
      </c>
    </row>
    <row r="115" spans="1:8" x14ac:dyDescent="0.25">
      <c r="A115">
        <v>114</v>
      </c>
      <c r="B115" s="7">
        <v>43983</v>
      </c>
      <c r="C115" s="4">
        <v>11224.3</v>
      </c>
      <c r="D115">
        <f t="shared" si="1"/>
        <v>11247.596000000001</v>
      </c>
      <c r="F115" s="8">
        <v>72</v>
      </c>
      <c r="G115" s="8">
        <v>9993.299447068086</v>
      </c>
      <c r="H115" s="8">
        <v>64.600552931913626</v>
      </c>
    </row>
    <row r="116" spans="1:8" x14ac:dyDescent="0.25">
      <c r="A116">
        <v>115</v>
      </c>
      <c r="B116" s="7">
        <v>44013</v>
      </c>
      <c r="C116" s="4">
        <v>11269.3</v>
      </c>
      <c r="D116">
        <f t="shared" si="1"/>
        <v>11277.460000000001</v>
      </c>
      <c r="F116" s="8">
        <v>73</v>
      </c>
      <c r="G116" s="8">
        <v>10023.163384494297</v>
      </c>
      <c r="H116" s="8">
        <v>31.736615505702503</v>
      </c>
    </row>
    <row r="117" spans="1:8" x14ac:dyDescent="0.25">
      <c r="A117">
        <v>116</v>
      </c>
      <c r="B117" s="7">
        <v>44044</v>
      </c>
      <c r="C117" s="4">
        <v>11305.5</v>
      </c>
      <c r="D117">
        <f t="shared" si="1"/>
        <v>11307.324000000001</v>
      </c>
      <c r="F117" s="8">
        <v>74</v>
      </c>
      <c r="G117" s="8">
        <v>10053.027321920506</v>
      </c>
      <c r="H117" s="8">
        <v>-11.527321920506438</v>
      </c>
    </row>
    <row r="118" spans="1:8" x14ac:dyDescent="0.25">
      <c r="A118">
        <v>117</v>
      </c>
      <c r="B118" s="7">
        <v>44075</v>
      </c>
      <c r="C118" s="4">
        <v>11331.9</v>
      </c>
      <c r="D118">
        <f t="shared" si="1"/>
        <v>11337.188</v>
      </c>
      <c r="F118" s="8">
        <v>75</v>
      </c>
      <c r="G118" s="8">
        <v>10082.891259346718</v>
      </c>
      <c r="H118" s="8">
        <v>-0.89125934671756113</v>
      </c>
    </row>
    <row r="119" spans="1:8" x14ac:dyDescent="0.25">
      <c r="A119">
        <v>118</v>
      </c>
      <c r="B119" s="7">
        <v>44105</v>
      </c>
      <c r="C119" s="4">
        <v>11348.6</v>
      </c>
      <c r="D119">
        <f t="shared" si="1"/>
        <v>11367.052</v>
      </c>
      <c r="F119" s="8">
        <v>76</v>
      </c>
      <c r="G119" s="8">
        <v>10112.755196772927</v>
      </c>
      <c r="H119" s="8">
        <v>-76.855196772927229</v>
      </c>
    </row>
    <row r="120" spans="1:8" x14ac:dyDescent="0.25">
      <c r="A120">
        <v>119</v>
      </c>
      <c r="B120" s="7">
        <v>44136</v>
      </c>
      <c r="C120" s="4">
        <v>11418.2</v>
      </c>
      <c r="D120">
        <f t="shared" si="1"/>
        <v>11396.916000000001</v>
      </c>
      <c r="F120" s="8">
        <v>77</v>
      </c>
      <c r="G120" s="8">
        <v>10142.619134199136</v>
      </c>
      <c r="H120" s="8">
        <v>-51.019134199135806</v>
      </c>
    </row>
    <row r="121" spans="1:8" x14ac:dyDescent="0.25">
      <c r="A121">
        <v>120</v>
      </c>
      <c r="B121" s="7">
        <v>44166</v>
      </c>
      <c r="C121" s="4">
        <v>11377.4</v>
      </c>
      <c r="D121">
        <f t="shared" si="1"/>
        <v>11426.78</v>
      </c>
      <c r="F121" s="8">
        <v>78</v>
      </c>
      <c r="G121" s="8">
        <v>10172.483071625347</v>
      </c>
      <c r="H121" s="8">
        <v>-71.283071625346565</v>
      </c>
    </row>
    <row r="122" spans="1:8" x14ac:dyDescent="0.25">
      <c r="A122">
        <v>121</v>
      </c>
      <c r="B122" s="7">
        <v>44197</v>
      </c>
      <c r="C122" s="4"/>
      <c r="D122">
        <f t="shared" si="1"/>
        <v>11456.644</v>
      </c>
      <c r="F122" s="8">
        <v>79</v>
      </c>
      <c r="G122" s="8">
        <v>10202.347009051558</v>
      </c>
      <c r="H122" s="8">
        <v>-88.347009051558416</v>
      </c>
    </row>
    <row r="123" spans="1:8" x14ac:dyDescent="0.25">
      <c r="A123">
        <v>122</v>
      </c>
      <c r="B123" s="7">
        <v>44228</v>
      </c>
      <c r="C123" s="4"/>
      <c r="D123">
        <f t="shared" si="1"/>
        <v>11486.508</v>
      </c>
      <c r="F123" s="8">
        <v>80</v>
      </c>
      <c r="G123" s="8">
        <v>10232.210946477768</v>
      </c>
      <c r="H123" s="8">
        <v>-18.310946477768084</v>
      </c>
    </row>
    <row r="124" spans="1:8" x14ac:dyDescent="0.25">
      <c r="A124">
        <v>123</v>
      </c>
      <c r="B124" s="7">
        <v>44256</v>
      </c>
      <c r="C124" s="5"/>
      <c r="D124">
        <f t="shared" si="1"/>
        <v>11516.371999999999</v>
      </c>
      <c r="F124" s="8">
        <v>81</v>
      </c>
      <c r="G124" s="8">
        <v>10262.074883903977</v>
      </c>
      <c r="H124" s="8">
        <v>2.3251160960226116</v>
      </c>
    </row>
    <row r="125" spans="1:8" x14ac:dyDescent="0.25">
      <c r="A125">
        <v>124</v>
      </c>
      <c r="B125" s="7">
        <v>44287</v>
      </c>
      <c r="C125" s="5"/>
      <c r="D125">
        <f t="shared" si="1"/>
        <v>11546.236000000001</v>
      </c>
      <c r="F125" s="8">
        <v>82</v>
      </c>
      <c r="G125" s="8">
        <v>10291.938821330188</v>
      </c>
      <c r="H125" s="8">
        <v>-26.038821330188512</v>
      </c>
    </row>
    <row r="126" spans="1:8" x14ac:dyDescent="0.25">
      <c r="A126">
        <v>125</v>
      </c>
      <c r="B126" s="7">
        <v>44317</v>
      </c>
      <c r="C126" s="5"/>
      <c r="D126">
        <f t="shared" si="1"/>
        <v>11576.1</v>
      </c>
      <c r="F126" s="8">
        <v>83</v>
      </c>
      <c r="G126" s="8">
        <v>10321.802758756399</v>
      </c>
      <c r="H126" s="8">
        <v>20.897241243601457</v>
      </c>
    </row>
    <row r="127" spans="1:8" x14ac:dyDescent="0.25">
      <c r="A127">
        <v>126</v>
      </c>
      <c r="B127" s="7">
        <v>44348</v>
      </c>
      <c r="C127" s="5"/>
      <c r="D127">
        <f t="shared" si="1"/>
        <v>11605.964</v>
      </c>
      <c r="F127" s="8">
        <v>84</v>
      </c>
      <c r="G127" s="8">
        <v>10351.666696182609</v>
      </c>
      <c r="H127" s="8">
        <v>0.13330381739069708</v>
      </c>
    </row>
    <row r="128" spans="1:8" x14ac:dyDescent="0.25">
      <c r="A128">
        <v>127</v>
      </c>
      <c r="B128" s="7">
        <v>44378</v>
      </c>
      <c r="C128" s="5"/>
      <c r="D128">
        <f t="shared" si="1"/>
        <v>11635.828000000001</v>
      </c>
      <c r="F128" s="8">
        <v>85</v>
      </c>
      <c r="G128" s="8">
        <v>10381.530633608818</v>
      </c>
      <c r="H128" s="8">
        <v>12.869366391181757</v>
      </c>
    </row>
    <row r="129" spans="1:8" x14ac:dyDescent="0.25">
      <c r="A129">
        <v>128</v>
      </c>
      <c r="B129" s="7">
        <v>44409</v>
      </c>
      <c r="C129" s="5"/>
      <c r="D129">
        <f t="shared" si="1"/>
        <v>11665.692000000001</v>
      </c>
      <c r="F129" s="8">
        <v>86</v>
      </c>
      <c r="G129" s="8">
        <v>10411.394571035029</v>
      </c>
      <c r="H129" s="8">
        <v>-9.1945710350282752</v>
      </c>
    </row>
    <row r="130" spans="1:8" x14ac:dyDescent="0.25">
      <c r="A130">
        <v>129</v>
      </c>
      <c r="B130" s="7">
        <v>44440</v>
      </c>
      <c r="C130" s="5"/>
      <c r="D130">
        <f t="shared" si="1"/>
        <v>11695.556</v>
      </c>
      <c r="F130" s="8">
        <v>87</v>
      </c>
      <c r="G130" s="8">
        <v>10441.258508461238</v>
      </c>
      <c r="H130" s="8">
        <v>-69.958508461239035</v>
      </c>
    </row>
    <row r="131" spans="1:8" x14ac:dyDescent="0.25">
      <c r="A131">
        <v>130</v>
      </c>
      <c r="B131" s="7">
        <v>44470</v>
      </c>
      <c r="C131" s="5"/>
      <c r="D131">
        <f t="shared" ref="D131:D133" si="2">29.864*A131 + 7843.1</f>
        <v>11725.42</v>
      </c>
      <c r="F131" s="8">
        <v>88</v>
      </c>
      <c r="G131" s="8">
        <v>10471.122445887449</v>
      </c>
      <c r="H131" s="8">
        <v>-36.922445887448703</v>
      </c>
    </row>
    <row r="132" spans="1:8" x14ac:dyDescent="0.25">
      <c r="A132">
        <v>131</v>
      </c>
      <c r="B132" s="7">
        <v>44501</v>
      </c>
      <c r="C132" s="5"/>
      <c r="D132">
        <f t="shared" si="2"/>
        <v>11755.284</v>
      </c>
      <c r="F132" s="8">
        <v>89</v>
      </c>
      <c r="G132" s="8">
        <v>10500.986383313659</v>
      </c>
      <c r="H132" s="8">
        <v>-42.186383313659462</v>
      </c>
    </row>
    <row r="133" spans="1:8" x14ac:dyDescent="0.25">
      <c r="A133">
        <v>132</v>
      </c>
      <c r="B133" s="7">
        <v>44531</v>
      </c>
      <c r="C133" s="5"/>
      <c r="D133">
        <f t="shared" si="2"/>
        <v>11785.148000000001</v>
      </c>
      <c r="F133" s="8">
        <v>90</v>
      </c>
      <c r="G133" s="8">
        <v>10530.85032073987</v>
      </c>
      <c r="H133" s="8">
        <v>-52.950320739870222</v>
      </c>
    </row>
    <row r="134" spans="1:8" x14ac:dyDescent="0.25">
      <c r="B134" s="3"/>
      <c r="C134" s="2"/>
      <c r="F134" s="8">
        <v>91</v>
      </c>
      <c r="G134" s="8">
        <v>10560.714258166079</v>
      </c>
      <c r="H134" s="8">
        <v>-67.214258166079162</v>
      </c>
    </row>
    <row r="135" spans="1:8" x14ac:dyDescent="0.25">
      <c r="B135" s="3"/>
      <c r="C135" s="2"/>
      <c r="F135" s="8">
        <v>92</v>
      </c>
      <c r="G135" s="8">
        <v>10590.57819559229</v>
      </c>
      <c r="H135" s="8">
        <v>-127.77819559229101</v>
      </c>
    </row>
    <row r="136" spans="1:8" x14ac:dyDescent="0.25">
      <c r="B136" s="3"/>
      <c r="C136" s="2"/>
      <c r="F136" s="8">
        <v>93</v>
      </c>
      <c r="G136" s="8">
        <v>10620.4421330185</v>
      </c>
      <c r="H136" s="8">
        <v>-72.142133018500317</v>
      </c>
    </row>
    <row r="137" spans="1:8" x14ac:dyDescent="0.25">
      <c r="B137" s="3"/>
      <c r="C137" s="2"/>
      <c r="F137" s="8">
        <v>94</v>
      </c>
      <c r="G137" s="8">
        <v>10650.306070444709</v>
      </c>
      <c r="H137" s="8">
        <v>-75.906070444709258</v>
      </c>
    </row>
    <row r="138" spans="1:8" x14ac:dyDescent="0.25">
      <c r="B138" s="3"/>
      <c r="C138" s="2"/>
      <c r="F138" s="8">
        <v>95</v>
      </c>
      <c r="G138" s="8">
        <v>10680.17000787092</v>
      </c>
      <c r="H138" s="8">
        <v>-107.17000787092002</v>
      </c>
    </row>
    <row r="139" spans="1:8" x14ac:dyDescent="0.25">
      <c r="B139" s="3"/>
      <c r="C139" s="2"/>
      <c r="F139" s="8">
        <v>96</v>
      </c>
      <c r="G139" s="8">
        <v>10710.033945297131</v>
      </c>
      <c r="H139" s="8">
        <v>-47.833945297130413</v>
      </c>
    </row>
    <row r="140" spans="1:8" x14ac:dyDescent="0.25">
      <c r="B140" s="3"/>
      <c r="C140" s="2"/>
      <c r="F140" s="8">
        <v>97</v>
      </c>
      <c r="G140" s="8">
        <v>10739.89788272334</v>
      </c>
      <c r="H140" s="8">
        <v>-81.897882723340444</v>
      </c>
    </row>
    <row r="141" spans="1:8" x14ac:dyDescent="0.25">
      <c r="B141" s="3"/>
      <c r="C141" s="2"/>
      <c r="F141" s="8">
        <v>98</v>
      </c>
      <c r="G141" s="8">
        <v>10769.76182014955</v>
      </c>
      <c r="H141" s="8">
        <v>-95.061820149549021</v>
      </c>
    </row>
    <row r="142" spans="1:8" x14ac:dyDescent="0.25">
      <c r="B142" s="3"/>
      <c r="C142" s="2"/>
      <c r="F142" s="8">
        <v>99</v>
      </c>
      <c r="G142" s="8">
        <v>10799.625757575761</v>
      </c>
      <c r="H142" s="8">
        <v>-27.8257575757616</v>
      </c>
    </row>
    <row r="143" spans="1:8" x14ac:dyDescent="0.25">
      <c r="B143" s="3"/>
      <c r="C143" s="2"/>
      <c r="F143" s="8">
        <v>100</v>
      </c>
      <c r="G143" s="8">
        <v>10829.489695001972</v>
      </c>
      <c r="H143" s="8">
        <v>-8.2896950019712676</v>
      </c>
    </row>
    <row r="144" spans="1:8" x14ac:dyDescent="0.25">
      <c r="B144" s="3"/>
      <c r="C144" s="2"/>
      <c r="F144" s="8">
        <v>101</v>
      </c>
      <c r="G144" s="8">
        <v>10859.353632428181</v>
      </c>
      <c r="H144" s="8">
        <v>-7.8536324281812995</v>
      </c>
    </row>
    <row r="145" spans="2:8" x14ac:dyDescent="0.25">
      <c r="B145" s="3"/>
      <c r="C145" s="2"/>
      <c r="F145" s="8">
        <v>102</v>
      </c>
      <c r="G145" s="8">
        <v>10889.217569854391</v>
      </c>
      <c r="H145" s="8">
        <v>7.1824301456090325</v>
      </c>
    </row>
    <row r="146" spans="2:8" x14ac:dyDescent="0.25">
      <c r="B146" s="3"/>
      <c r="C146" s="2"/>
      <c r="F146" s="8">
        <v>103</v>
      </c>
      <c r="G146" s="8">
        <v>10919.081507280602</v>
      </c>
      <c r="H146" s="8">
        <v>7.5184927193986368</v>
      </c>
    </row>
    <row r="147" spans="2:8" x14ac:dyDescent="0.25">
      <c r="B147" s="3"/>
      <c r="C147" s="2"/>
      <c r="F147" s="8">
        <v>104</v>
      </c>
      <c r="G147" s="8">
        <v>10948.945444706811</v>
      </c>
      <c r="H147" s="8">
        <v>-11.045444706811395</v>
      </c>
    </row>
    <row r="148" spans="2:8" x14ac:dyDescent="0.25">
      <c r="B148" s="3"/>
      <c r="C148" s="2"/>
      <c r="F148" s="8">
        <v>105</v>
      </c>
      <c r="G148" s="8">
        <v>10978.809382133022</v>
      </c>
      <c r="H148" s="8">
        <v>-2.6093821330214269</v>
      </c>
    </row>
    <row r="149" spans="2:8" x14ac:dyDescent="0.25">
      <c r="B149" s="3"/>
      <c r="C149" s="2"/>
      <c r="F149" s="8">
        <v>106</v>
      </c>
      <c r="G149" s="8">
        <v>11008.673319559231</v>
      </c>
      <c r="H149" s="8">
        <v>-18.673319559231459</v>
      </c>
    </row>
    <row r="150" spans="2:8" x14ac:dyDescent="0.25">
      <c r="B150" s="3"/>
      <c r="C150" s="2"/>
      <c r="F150" s="8">
        <v>107</v>
      </c>
      <c r="G150" s="8">
        <v>11038.537256985443</v>
      </c>
      <c r="H150" s="8">
        <v>-19.537256985442582</v>
      </c>
    </row>
    <row r="151" spans="2:8" x14ac:dyDescent="0.25">
      <c r="B151" s="3"/>
      <c r="C151" s="2"/>
      <c r="F151" s="8">
        <v>108</v>
      </c>
      <c r="G151" s="8">
        <v>11068.401194411652</v>
      </c>
      <c r="H151" s="8">
        <v>4.7988055883488414</v>
      </c>
    </row>
    <row r="152" spans="2:8" x14ac:dyDescent="0.25">
      <c r="B152" s="3"/>
      <c r="C152" s="2"/>
      <c r="F152" s="8">
        <v>109</v>
      </c>
      <c r="G152" s="8">
        <v>11098.265131837863</v>
      </c>
      <c r="H152" s="8">
        <v>14.234868162136991</v>
      </c>
    </row>
    <row r="153" spans="2:8" x14ac:dyDescent="0.25">
      <c r="B153" s="3"/>
      <c r="C153" s="2"/>
      <c r="F153" s="8">
        <v>110</v>
      </c>
      <c r="G153" s="8">
        <v>11128.129069264072</v>
      </c>
      <c r="H153" s="8">
        <v>69.370930735927686</v>
      </c>
    </row>
    <row r="154" spans="2:8" x14ac:dyDescent="0.25">
      <c r="B154" s="3"/>
      <c r="C154" s="2"/>
      <c r="F154" s="8">
        <v>111</v>
      </c>
      <c r="G154" s="8">
        <v>11157.993006690282</v>
      </c>
      <c r="H154" s="8">
        <v>99.506993309718382</v>
      </c>
    </row>
    <row r="155" spans="2:8" x14ac:dyDescent="0.25">
      <c r="B155" s="3"/>
      <c r="C155" s="2"/>
      <c r="F155" s="8">
        <v>112</v>
      </c>
      <c r="G155" s="8">
        <v>11187.856944116493</v>
      </c>
      <c r="H155" s="8">
        <v>64.743055883507623</v>
      </c>
    </row>
    <row r="156" spans="2:8" x14ac:dyDescent="0.25">
      <c r="B156" s="3"/>
      <c r="C156" s="2"/>
      <c r="F156" s="8">
        <v>113</v>
      </c>
      <c r="G156" s="8">
        <v>11217.720881542704</v>
      </c>
      <c r="H156" s="8">
        <v>12.379118457296499</v>
      </c>
    </row>
    <row r="157" spans="2:8" x14ac:dyDescent="0.25">
      <c r="B157" s="3"/>
      <c r="C157" s="2"/>
      <c r="F157" s="8">
        <v>114</v>
      </c>
      <c r="G157" s="8">
        <v>11247.584818968913</v>
      </c>
      <c r="H157" s="8">
        <v>-23.284818968913896</v>
      </c>
    </row>
    <row r="158" spans="2:8" x14ac:dyDescent="0.25">
      <c r="B158" s="3"/>
      <c r="C158" s="2"/>
      <c r="F158" s="8">
        <v>115</v>
      </c>
      <c r="G158" s="8">
        <v>11277.448756395122</v>
      </c>
      <c r="H158" s="8">
        <v>-8.1487563951232005</v>
      </c>
    </row>
    <row r="159" spans="2:8" x14ac:dyDescent="0.25">
      <c r="B159" s="3"/>
      <c r="C159" s="2"/>
      <c r="F159" s="8">
        <v>116</v>
      </c>
      <c r="G159" s="8">
        <v>11307.312693821334</v>
      </c>
      <c r="H159" s="8">
        <v>-1.8126938213335961</v>
      </c>
    </row>
    <row r="160" spans="2:8" x14ac:dyDescent="0.25">
      <c r="B160" s="3"/>
      <c r="C160" s="2"/>
      <c r="F160" s="8">
        <v>117</v>
      </c>
      <c r="G160" s="8">
        <v>11337.176631247543</v>
      </c>
      <c r="H160" s="8">
        <v>-5.2766312475432642</v>
      </c>
    </row>
    <row r="161" spans="2:8" x14ac:dyDescent="0.25">
      <c r="B161" s="3"/>
      <c r="C161" s="2"/>
      <c r="F161" s="8">
        <v>118</v>
      </c>
      <c r="G161" s="8">
        <v>11367.040568673754</v>
      </c>
      <c r="H161" s="8">
        <v>-18.44056867375366</v>
      </c>
    </row>
    <row r="162" spans="2:8" x14ac:dyDescent="0.25">
      <c r="B162" s="3"/>
      <c r="C162" s="2"/>
      <c r="F162" s="8">
        <v>119</v>
      </c>
      <c r="G162" s="8">
        <v>11396.904506099963</v>
      </c>
      <c r="H162" s="8">
        <v>21.2954939000374</v>
      </c>
    </row>
    <row r="163" spans="2:8" ht="15.75" thickBot="1" x14ac:dyDescent="0.3">
      <c r="B163" s="3"/>
      <c r="C163" s="2"/>
      <c r="F163" s="9">
        <v>120</v>
      </c>
      <c r="G163" s="9">
        <v>11426.768443526174</v>
      </c>
      <c r="H163" s="9">
        <v>-49.368443526174815</v>
      </c>
    </row>
    <row r="164" spans="2:8" x14ac:dyDescent="0.25">
      <c r="B164" s="3"/>
      <c r="C164" s="2"/>
    </row>
    <row r="165" spans="2:8" x14ac:dyDescent="0.25">
      <c r="B165" s="3"/>
      <c r="C165" s="2"/>
    </row>
    <row r="166" spans="2:8" x14ac:dyDescent="0.25">
      <c r="B166" s="3"/>
      <c r="C166" s="2"/>
    </row>
    <row r="167" spans="2:8" x14ac:dyDescent="0.25">
      <c r="B167" s="3"/>
      <c r="C167" s="2"/>
    </row>
    <row r="168" spans="2:8" x14ac:dyDescent="0.25">
      <c r="B168" s="3"/>
      <c r="C168" s="2"/>
    </row>
    <row r="169" spans="2:8" x14ac:dyDescent="0.25">
      <c r="B169" s="3"/>
      <c r="C169" s="2"/>
    </row>
    <row r="170" spans="2:8" x14ac:dyDescent="0.25">
      <c r="B170" s="3"/>
      <c r="C170" s="2"/>
    </row>
    <row r="171" spans="2:8" x14ac:dyDescent="0.25">
      <c r="B171" s="3"/>
      <c r="C171" s="2"/>
    </row>
    <row r="172" spans="2:8" x14ac:dyDescent="0.25">
      <c r="B172" s="3"/>
      <c r="C172" s="2"/>
    </row>
    <row r="173" spans="2:8" x14ac:dyDescent="0.25">
      <c r="B173" s="3"/>
      <c r="C173" s="2"/>
    </row>
    <row r="174" spans="2:8" x14ac:dyDescent="0.25">
      <c r="B174" s="3"/>
      <c r="C174" s="2"/>
    </row>
    <row r="175" spans="2:8" x14ac:dyDescent="0.25">
      <c r="B175" s="3"/>
      <c r="C175" s="2"/>
    </row>
    <row r="176" spans="2:8" x14ac:dyDescent="0.25">
      <c r="B176" s="3"/>
      <c r="C176" s="2"/>
    </row>
    <row r="177" spans="2:3" x14ac:dyDescent="0.25">
      <c r="B177" s="3"/>
      <c r="C177" s="2"/>
    </row>
    <row r="178" spans="2:3" x14ac:dyDescent="0.25">
      <c r="B178" s="3"/>
      <c r="C178" s="2"/>
    </row>
    <row r="179" spans="2:3" x14ac:dyDescent="0.25">
      <c r="B179" s="3"/>
      <c r="C179" s="2"/>
    </row>
    <row r="180" spans="2:3" x14ac:dyDescent="0.25">
      <c r="B180" s="3"/>
      <c r="C180" s="2"/>
    </row>
    <row r="181" spans="2:3" x14ac:dyDescent="0.25">
      <c r="B181" s="3"/>
      <c r="C181" s="2"/>
    </row>
    <row r="182" spans="2:3" x14ac:dyDescent="0.25">
      <c r="B182" s="3"/>
      <c r="C182" s="2"/>
    </row>
    <row r="183" spans="2:3" x14ac:dyDescent="0.25">
      <c r="B183" s="3"/>
      <c r="C183" s="2"/>
    </row>
    <row r="184" spans="2:3" x14ac:dyDescent="0.25">
      <c r="B184" s="3"/>
      <c r="C184" s="2"/>
    </row>
    <row r="185" spans="2:3" x14ac:dyDescent="0.25">
      <c r="B185" s="3"/>
      <c r="C185" s="2"/>
    </row>
    <row r="186" spans="2:3" x14ac:dyDescent="0.25">
      <c r="B186" s="3"/>
      <c r="C186" s="2"/>
    </row>
    <row r="187" spans="2:3" x14ac:dyDescent="0.25">
      <c r="B187" s="3"/>
      <c r="C187" s="2"/>
    </row>
    <row r="188" spans="2:3" x14ac:dyDescent="0.25">
      <c r="B188" s="3"/>
      <c r="C188" s="2"/>
    </row>
    <row r="189" spans="2:3" x14ac:dyDescent="0.25">
      <c r="B189" s="3"/>
      <c r="C189" s="2"/>
    </row>
    <row r="190" spans="2:3" x14ac:dyDescent="0.25">
      <c r="B190" s="3"/>
      <c r="C190" s="2"/>
    </row>
    <row r="191" spans="2:3" x14ac:dyDescent="0.25">
      <c r="B191" s="3"/>
      <c r="C191" s="2"/>
    </row>
    <row r="192" spans="2:3" x14ac:dyDescent="0.25">
      <c r="B192" s="3"/>
      <c r="C192" s="2"/>
    </row>
    <row r="193" spans="2:3" x14ac:dyDescent="0.25">
      <c r="B193" s="3"/>
      <c r="C193" s="2"/>
    </row>
    <row r="194" spans="2:3" x14ac:dyDescent="0.25">
      <c r="B194" s="3"/>
      <c r="C194" s="2"/>
    </row>
    <row r="195" spans="2:3" x14ac:dyDescent="0.25">
      <c r="B195" s="3"/>
      <c r="C195" s="2"/>
    </row>
    <row r="196" spans="2:3" x14ac:dyDescent="0.25">
      <c r="B196" s="3"/>
      <c r="C196" s="2"/>
    </row>
    <row r="197" spans="2:3" x14ac:dyDescent="0.25">
      <c r="B197" s="3"/>
      <c r="C197" s="2"/>
    </row>
    <row r="198" spans="2:3" x14ac:dyDescent="0.25">
      <c r="B198" s="3"/>
      <c r="C198" s="2"/>
    </row>
    <row r="199" spans="2:3" x14ac:dyDescent="0.25">
      <c r="B199" s="3"/>
      <c r="C199" s="2"/>
    </row>
    <row r="200" spans="2:3" x14ac:dyDescent="0.25">
      <c r="B200" s="3"/>
      <c r="C200" s="2"/>
    </row>
    <row r="201" spans="2:3" x14ac:dyDescent="0.25">
      <c r="B201" s="3"/>
      <c r="C201" s="2"/>
    </row>
    <row r="202" spans="2:3" x14ac:dyDescent="0.25">
      <c r="B202" s="3"/>
      <c r="C202" s="2"/>
    </row>
    <row r="203" spans="2:3" x14ac:dyDescent="0.25">
      <c r="B203" s="3"/>
      <c r="C203" s="2"/>
    </row>
    <row r="204" spans="2:3" x14ac:dyDescent="0.25">
      <c r="B204" s="3"/>
      <c r="C204" s="2"/>
    </row>
    <row r="205" spans="2:3" x14ac:dyDescent="0.25">
      <c r="B205" s="3"/>
      <c r="C205" s="2"/>
    </row>
    <row r="206" spans="2:3" x14ac:dyDescent="0.25">
      <c r="B206" s="3"/>
      <c r="C206" s="2"/>
    </row>
    <row r="207" spans="2:3" x14ac:dyDescent="0.25">
      <c r="B207" s="3"/>
      <c r="C207" s="2"/>
    </row>
    <row r="208" spans="2:3" x14ac:dyDescent="0.25">
      <c r="B208" s="3"/>
      <c r="C208" s="2"/>
    </row>
    <row r="209" spans="2:3" x14ac:dyDescent="0.25">
      <c r="B209" s="3"/>
      <c r="C209" s="2"/>
    </row>
    <row r="210" spans="2:3" x14ac:dyDescent="0.25">
      <c r="B210" s="3"/>
      <c r="C210" s="2"/>
    </row>
    <row r="211" spans="2:3" x14ac:dyDescent="0.25">
      <c r="B211" s="3"/>
      <c r="C211" s="2"/>
    </row>
    <row r="212" spans="2:3" x14ac:dyDescent="0.25">
      <c r="B212" s="3"/>
      <c r="C212" s="2"/>
    </row>
    <row r="213" spans="2:3" x14ac:dyDescent="0.25">
      <c r="B213" s="3"/>
      <c r="C213" s="2"/>
    </row>
    <row r="214" spans="2:3" x14ac:dyDescent="0.25">
      <c r="B214" s="3"/>
      <c r="C214" s="2"/>
    </row>
    <row r="215" spans="2:3" x14ac:dyDescent="0.25">
      <c r="B215" s="3"/>
      <c r="C215" s="2"/>
    </row>
    <row r="216" spans="2:3" x14ac:dyDescent="0.25">
      <c r="B216" s="3"/>
      <c r="C216" s="2"/>
    </row>
    <row r="217" spans="2:3" x14ac:dyDescent="0.25">
      <c r="B217" s="3"/>
      <c r="C217" s="2"/>
    </row>
    <row r="218" spans="2:3" x14ac:dyDescent="0.25">
      <c r="B218" s="3"/>
      <c r="C218" s="2"/>
    </row>
    <row r="219" spans="2:3" x14ac:dyDescent="0.25">
      <c r="B219" s="3"/>
      <c r="C219" s="2"/>
    </row>
    <row r="220" spans="2:3" x14ac:dyDescent="0.25">
      <c r="B220" s="3"/>
      <c r="C220" s="2"/>
    </row>
    <row r="221" spans="2:3" x14ac:dyDescent="0.25">
      <c r="B221" s="3"/>
      <c r="C221" s="2"/>
    </row>
    <row r="222" spans="2:3" x14ac:dyDescent="0.25">
      <c r="B222" s="3"/>
      <c r="C222" s="2"/>
    </row>
    <row r="223" spans="2:3" x14ac:dyDescent="0.25">
      <c r="B223" s="3"/>
      <c r="C223" s="2"/>
    </row>
    <row r="224" spans="2:3" x14ac:dyDescent="0.25">
      <c r="B224" s="3"/>
      <c r="C224" s="2"/>
    </row>
    <row r="225" spans="2:3" x14ac:dyDescent="0.25">
      <c r="B225" s="3"/>
      <c r="C225" s="2"/>
    </row>
    <row r="226" spans="2:3" x14ac:dyDescent="0.25">
      <c r="B226" s="3"/>
      <c r="C226" s="2"/>
    </row>
    <row r="227" spans="2:3" x14ac:dyDescent="0.25">
      <c r="B227" s="3"/>
      <c r="C227" s="2"/>
    </row>
    <row r="228" spans="2:3" x14ac:dyDescent="0.25">
      <c r="B228" s="3"/>
      <c r="C228" s="2"/>
    </row>
    <row r="229" spans="2:3" x14ac:dyDescent="0.25">
      <c r="B229" s="3"/>
      <c r="C229" s="2"/>
    </row>
    <row r="230" spans="2:3" x14ac:dyDescent="0.25">
      <c r="B230" s="3"/>
      <c r="C230" s="2"/>
    </row>
    <row r="231" spans="2:3" x14ac:dyDescent="0.25">
      <c r="B231" s="3"/>
      <c r="C231" s="2"/>
    </row>
    <row r="232" spans="2:3" x14ac:dyDescent="0.25">
      <c r="B232" s="3"/>
      <c r="C232" s="2"/>
    </row>
    <row r="233" spans="2:3" x14ac:dyDescent="0.25">
      <c r="B233" s="3"/>
      <c r="C233" s="2"/>
    </row>
    <row r="234" spans="2:3" x14ac:dyDescent="0.25">
      <c r="B234" s="3"/>
      <c r="C234" s="2"/>
    </row>
    <row r="235" spans="2:3" x14ac:dyDescent="0.25">
      <c r="B235" s="3"/>
      <c r="C235" s="2"/>
    </row>
    <row r="236" spans="2:3" x14ac:dyDescent="0.25">
      <c r="B236" s="3"/>
      <c r="C236" s="2"/>
    </row>
    <row r="237" spans="2:3" x14ac:dyDescent="0.25">
      <c r="B237" s="3"/>
      <c r="C237" s="2"/>
    </row>
    <row r="238" spans="2:3" x14ac:dyDescent="0.25">
      <c r="B238" s="3"/>
      <c r="C238" s="2"/>
    </row>
    <row r="239" spans="2:3" x14ac:dyDescent="0.25">
      <c r="B239" s="3"/>
      <c r="C239" s="2"/>
    </row>
    <row r="240" spans="2:3" x14ac:dyDescent="0.25">
      <c r="B240" s="3"/>
      <c r="C240" s="2"/>
    </row>
    <row r="241" spans="2:3" x14ac:dyDescent="0.25">
      <c r="B241" s="3"/>
      <c r="C241" s="2"/>
    </row>
    <row r="242" spans="2:3" x14ac:dyDescent="0.25">
      <c r="B242" s="3"/>
      <c r="C242" s="2"/>
    </row>
    <row r="243" spans="2:3" x14ac:dyDescent="0.25">
      <c r="B243" s="3"/>
      <c r="C243" s="2"/>
    </row>
    <row r="244" spans="2:3" x14ac:dyDescent="0.25">
      <c r="B244" s="3"/>
      <c r="C244" s="2"/>
    </row>
    <row r="245" spans="2:3" x14ac:dyDescent="0.25">
      <c r="B245" s="3"/>
      <c r="C245" s="2"/>
    </row>
    <row r="246" spans="2:3" x14ac:dyDescent="0.25">
      <c r="B246" s="3"/>
      <c r="C246" s="2"/>
    </row>
    <row r="247" spans="2:3" x14ac:dyDescent="0.25">
      <c r="B247" s="3"/>
      <c r="C247" s="2"/>
    </row>
    <row r="248" spans="2:3" x14ac:dyDescent="0.25">
      <c r="B248" s="3"/>
      <c r="C248" s="2"/>
    </row>
    <row r="249" spans="2:3" x14ac:dyDescent="0.25">
      <c r="B249" s="3"/>
      <c r="C249" s="2"/>
    </row>
    <row r="250" spans="2:3" x14ac:dyDescent="0.25">
      <c r="B250" s="3"/>
      <c r="C250" s="2"/>
    </row>
    <row r="251" spans="2:3" x14ac:dyDescent="0.25">
      <c r="B251" s="3"/>
      <c r="C251" s="2"/>
    </row>
    <row r="252" spans="2:3" x14ac:dyDescent="0.25">
      <c r="B252" s="3"/>
      <c r="C252" s="2"/>
    </row>
    <row r="253" spans="2:3" x14ac:dyDescent="0.25">
      <c r="B253" s="3"/>
      <c r="C253" s="2"/>
    </row>
    <row r="254" spans="2:3" x14ac:dyDescent="0.25">
      <c r="B254" s="3"/>
      <c r="C254" s="2"/>
    </row>
    <row r="255" spans="2:3" x14ac:dyDescent="0.25">
      <c r="B255" s="3"/>
      <c r="C255" s="2"/>
    </row>
    <row r="256" spans="2:3" x14ac:dyDescent="0.25">
      <c r="B256" s="3"/>
      <c r="C256" s="2"/>
    </row>
    <row r="257" spans="2:3" x14ac:dyDescent="0.25">
      <c r="B257" s="3"/>
      <c r="C257" s="2"/>
    </row>
    <row r="258" spans="2:3" x14ac:dyDescent="0.25">
      <c r="B258" s="3"/>
      <c r="C258" s="2"/>
    </row>
    <row r="259" spans="2:3" x14ac:dyDescent="0.25">
      <c r="B259" s="3"/>
      <c r="C259" s="2"/>
    </row>
    <row r="260" spans="2:3" x14ac:dyDescent="0.25">
      <c r="B260" s="3"/>
      <c r="C260" s="2"/>
    </row>
    <row r="261" spans="2:3" x14ac:dyDescent="0.25">
      <c r="B261" s="3"/>
      <c r="C261" s="2"/>
    </row>
    <row r="262" spans="2:3" x14ac:dyDescent="0.25">
      <c r="B262" s="3"/>
      <c r="C262" s="2"/>
    </row>
    <row r="263" spans="2:3" x14ac:dyDescent="0.25">
      <c r="B263" s="3"/>
      <c r="C263" s="2"/>
    </row>
    <row r="264" spans="2:3" x14ac:dyDescent="0.25">
      <c r="B264" s="3"/>
      <c r="C264" s="2"/>
    </row>
    <row r="265" spans="2:3" x14ac:dyDescent="0.25">
      <c r="B265" s="3"/>
      <c r="C265" s="2"/>
    </row>
    <row r="266" spans="2:3" x14ac:dyDescent="0.25">
      <c r="B266" s="3"/>
      <c r="C266" s="2"/>
    </row>
    <row r="267" spans="2:3" x14ac:dyDescent="0.25">
      <c r="B267" s="3"/>
      <c r="C267" s="2"/>
    </row>
    <row r="268" spans="2:3" x14ac:dyDescent="0.25">
      <c r="B268" s="3"/>
      <c r="C268" s="2"/>
    </row>
    <row r="269" spans="2:3" x14ac:dyDescent="0.25">
      <c r="B269" s="3"/>
      <c r="C269" s="2"/>
    </row>
    <row r="270" spans="2:3" x14ac:dyDescent="0.25">
      <c r="B270" s="3"/>
      <c r="C270" s="2"/>
    </row>
    <row r="271" spans="2:3" x14ac:dyDescent="0.25">
      <c r="B271" s="3"/>
      <c r="C271" s="2"/>
    </row>
    <row r="272" spans="2:3" x14ac:dyDescent="0.25">
      <c r="B272" s="3"/>
      <c r="C272" s="2"/>
    </row>
    <row r="273" spans="2:3" x14ac:dyDescent="0.25">
      <c r="B273" s="3"/>
      <c r="C273" s="2"/>
    </row>
    <row r="274" spans="2:3" x14ac:dyDescent="0.25">
      <c r="B274" s="3"/>
      <c r="C274" s="2"/>
    </row>
    <row r="275" spans="2:3" x14ac:dyDescent="0.25">
      <c r="B275" s="3"/>
      <c r="C275" s="2"/>
    </row>
    <row r="276" spans="2:3" x14ac:dyDescent="0.25">
      <c r="B276" s="3"/>
      <c r="C276" s="2"/>
    </row>
    <row r="277" spans="2:3" x14ac:dyDescent="0.25">
      <c r="B277" s="3"/>
      <c r="C277" s="2"/>
    </row>
    <row r="278" spans="2:3" x14ac:dyDescent="0.25">
      <c r="B278" s="3"/>
      <c r="C278" s="2"/>
    </row>
    <row r="279" spans="2:3" x14ac:dyDescent="0.25">
      <c r="B279" s="3"/>
      <c r="C279" s="2"/>
    </row>
    <row r="280" spans="2:3" x14ac:dyDescent="0.25">
      <c r="B280" s="3"/>
      <c r="C280" s="2"/>
    </row>
    <row r="281" spans="2:3" x14ac:dyDescent="0.25">
      <c r="B281" s="3"/>
      <c r="C281" s="2"/>
    </row>
    <row r="282" spans="2:3" x14ac:dyDescent="0.25">
      <c r="B282" s="3"/>
      <c r="C282" s="2"/>
    </row>
    <row r="283" spans="2:3" x14ac:dyDescent="0.25">
      <c r="B283" s="3"/>
      <c r="C283" s="2"/>
    </row>
    <row r="284" spans="2:3" x14ac:dyDescent="0.25">
      <c r="B284" s="3"/>
      <c r="C284" s="2"/>
    </row>
    <row r="285" spans="2:3" x14ac:dyDescent="0.25">
      <c r="B285" s="3"/>
      <c r="C285" s="2"/>
    </row>
    <row r="286" spans="2:3" x14ac:dyDescent="0.25">
      <c r="B286" s="3"/>
      <c r="C286" s="2"/>
    </row>
    <row r="287" spans="2:3" x14ac:dyDescent="0.25">
      <c r="B287" s="3"/>
      <c r="C287" s="2"/>
    </row>
    <row r="288" spans="2:3" x14ac:dyDescent="0.25">
      <c r="B288" s="3"/>
      <c r="C288" s="2"/>
    </row>
    <row r="289" spans="2:3" x14ac:dyDescent="0.25">
      <c r="B289" s="3"/>
      <c r="C289" s="2"/>
    </row>
    <row r="290" spans="2:3" x14ac:dyDescent="0.25">
      <c r="B290" s="3"/>
      <c r="C290" s="2"/>
    </row>
    <row r="291" spans="2:3" x14ac:dyDescent="0.25">
      <c r="B291" s="3"/>
      <c r="C291" s="2"/>
    </row>
    <row r="292" spans="2:3" x14ac:dyDescent="0.25">
      <c r="B292" s="3"/>
      <c r="C292" s="2"/>
    </row>
    <row r="293" spans="2:3" x14ac:dyDescent="0.25">
      <c r="B293" s="3"/>
      <c r="C293" s="2"/>
    </row>
    <row r="294" spans="2:3" x14ac:dyDescent="0.25">
      <c r="B294" s="3"/>
      <c r="C294" s="2"/>
    </row>
    <row r="295" spans="2:3" x14ac:dyDescent="0.25">
      <c r="B295" s="3"/>
      <c r="C295" s="2"/>
    </row>
    <row r="296" spans="2:3" x14ac:dyDescent="0.25">
      <c r="B296" s="3"/>
      <c r="C296" s="2"/>
    </row>
    <row r="297" spans="2:3" x14ac:dyDescent="0.25">
      <c r="B297" s="3"/>
      <c r="C297" s="2"/>
    </row>
    <row r="298" spans="2:3" x14ac:dyDescent="0.25">
      <c r="B298" s="3"/>
      <c r="C298" s="2"/>
    </row>
    <row r="299" spans="2:3" x14ac:dyDescent="0.25">
      <c r="B299" s="3"/>
      <c r="C299" s="2"/>
    </row>
    <row r="300" spans="2:3" x14ac:dyDescent="0.25">
      <c r="B300" s="3"/>
      <c r="C300" s="2"/>
    </row>
    <row r="301" spans="2:3" x14ac:dyDescent="0.25">
      <c r="B301" s="3"/>
      <c r="C301" s="2"/>
    </row>
    <row r="302" spans="2:3" x14ac:dyDescent="0.25">
      <c r="B302" s="3"/>
      <c r="C302" s="2"/>
    </row>
    <row r="303" spans="2:3" x14ac:dyDescent="0.25">
      <c r="B303" s="3"/>
      <c r="C303" s="2"/>
    </row>
    <row r="304" spans="2:3" x14ac:dyDescent="0.25">
      <c r="B304" s="3"/>
      <c r="C304" s="2"/>
    </row>
    <row r="305" spans="2:3" x14ac:dyDescent="0.25">
      <c r="B305" s="3"/>
      <c r="C305" s="2"/>
    </row>
    <row r="306" spans="2:3" x14ac:dyDescent="0.25">
      <c r="B306" s="3"/>
      <c r="C306" s="2"/>
    </row>
    <row r="307" spans="2:3" x14ac:dyDescent="0.25">
      <c r="B307" s="3"/>
      <c r="C307" s="2"/>
    </row>
    <row r="308" spans="2:3" x14ac:dyDescent="0.25">
      <c r="B308" s="3"/>
      <c r="C308" s="2"/>
    </row>
    <row r="309" spans="2:3" x14ac:dyDescent="0.25">
      <c r="B309" s="3"/>
      <c r="C309" s="2"/>
    </row>
    <row r="310" spans="2:3" x14ac:dyDescent="0.25">
      <c r="B310" s="3"/>
      <c r="C310" s="2"/>
    </row>
    <row r="311" spans="2:3" x14ac:dyDescent="0.25">
      <c r="B311" s="3"/>
      <c r="C311" s="2"/>
    </row>
    <row r="312" spans="2:3" x14ac:dyDescent="0.25">
      <c r="B312" s="3"/>
      <c r="C312" s="2"/>
    </row>
    <row r="313" spans="2:3" x14ac:dyDescent="0.25">
      <c r="B313" s="3"/>
      <c r="C313" s="2"/>
    </row>
    <row r="314" spans="2:3" x14ac:dyDescent="0.25">
      <c r="B314" s="3"/>
      <c r="C314" s="2"/>
    </row>
    <row r="315" spans="2:3" x14ac:dyDescent="0.25">
      <c r="B315" s="3"/>
      <c r="C315" s="2"/>
    </row>
    <row r="316" spans="2:3" x14ac:dyDescent="0.25">
      <c r="B316" s="3"/>
      <c r="C316" s="2"/>
    </row>
    <row r="317" spans="2:3" x14ac:dyDescent="0.25">
      <c r="B317" s="3"/>
      <c r="C317" s="2"/>
    </row>
    <row r="318" spans="2:3" x14ac:dyDescent="0.25">
      <c r="B318" s="3"/>
      <c r="C318" s="2"/>
    </row>
    <row r="319" spans="2:3" x14ac:dyDescent="0.25">
      <c r="B319" s="3"/>
      <c r="C319" s="2"/>
    </row>
    <row r="320" spans="2:3" x14ac:dyDescent="0.25">
      <c r="B320" s="3"/>
      <c r="C320" s="2"/>
    </row>
    <row r="321" spans="2:3" x14ac:dyDescent="0.25">
      <c r="B321" s="3"/>
      <c r="C321" s="2"/>
    </row>
    <row r="322" spans="2:3" x14ac:dyDescent="0.25">
      <c r="B322" s="3"/>
      <c r="C322" s="2"/>
    </row>
    <row r="323" spans="2:3" x14ac:dyDescent="0.25">
      <c r="C323" s="2"/>
    </row>
    <row r="324" spans="2:3" x14ac:dyDescent="0.25">
      <c r="C324" s="2"/>
    </row>
    <row r="325" spans="2:3" x14ac:dyDescent="0.25">
      <c r="C325" s="2"/>
    </row>
    <row r="326" spans="2:3" x14ac:dyDescent="0.25">
      <c r="C326" s="2"/>
    </row>
    <row r="327" spans="2:3" x14ac:dyDescent="0.25">
      <c r="C327" s="2"/>
    </row>
    <row r="328" spans="2:3" x14ac:dyDescent="0.25">
      <c r="C328" s="2"/>
    </row>
    <row r="329" spans="2:3" x14ac:dyDescent="0.25">
      <c r="C329" s="2"/>
    </row>
    <row r="330" spans="2:3" x14ac:dyDescent="0.25">
      <c r="C330" s="2"/>
    </row>
    <row r="331" spans="2:3" x14ac:dyDescent="0.25">
      <c r="C331" s="2"/>
    </row>
    <row r="332" spans="2:3" x14ac:dyDescent="0.25">
      <c r="C332" s="2"/>
    </row>
    <row r="333" spans="2:3" x14ac:dyDescent="0.25">
      <c r="C333" s="2"/>
    </row>
    <row r="334" spans="2:3" x14ac:dyDescent="0.25">
      <c r="C334" s="2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13EB345AFA924BB8B7EF5707BE1E95" ma:contentTypeVersion="12" ma:contentTypeDescription="Create a new document." ma:contentTypeScope="" ma:versionID="e99e479fb03b9407523be4764e4fbec2">
  <xsd:schema xmlns:xsd="http://www.w3.org/2001/XMLSchema" xmlns:xs="http://www.w3.org/2001/XMLSchema" xmlns:p="http://schemas.microsoft.com/office/2006/metadata/properties" xmlns:ns2="cba0953c-5c70-4054-8c5d-8a26148baa14" xmlns:ns3="95444f29-1981-4ac2-8d0d-fb39ab5c3193" targetNamespace="http://schemas.microsoft.com/office/2006/metadata/properties" ma:root="true" ma:fieldsID="033949284623396c80ad8e8f6b6491c4" ns2:_="" ns3:_="">
    <xsd:import namespace="cba0953c-5c70-4054-8c5d-8a26148baa14"/>
    <xsd:import namespace="95444f29-1981-4ac2-8d0d-fb39ab5c31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0953c-5c70-4054-8c5d-8a26148ba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44f29-1981-4ac2-8d0d-fb39ab5c3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91114F-364D-45D6-9BD8-667E087C00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a0953c-5c70-4054-8c5d-8a26148baa14"/>
    <ds:schemaRef ds:uri="95444f29-1981-4ac2-8d0d-fb39ab5c31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E1B8DE-523C-4C6F-A083-E7E9B8B9D8E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D0FDE6E-6922-4C29-A8E4-688F4465B4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Seasonally Adjusted</vt:lpstr>
    </vt:vector>
  </TitlesOfParts>
  <Company>ABS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Bryan Johns</cp:lastModifiedBy>
  <dcterms:created xsi:type="dcterms:W3CDTF">2020-07-29T23:57:35Z</dcterms:created>
  <dcterms:modified xsi:type="dcterms:W3CDTF">2025-12-22T19:33:43Z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0x0101005A13EB345AFA924BB8B7EF5707BE1E95</vt:lpwstr>
  </property>
</Properties>
</file>