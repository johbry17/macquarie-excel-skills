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br\Downloads\Excel Skills for Business Forecasting\3\"/>
    </mc:Choice>
  </mc:AlternateContent>
  <xr:revisionPtr revIDLastSave="0" documentId="13_ncr:1_{5E620F59-EABE-48F1-B6C2-1E10ABB08EE2}" xr6:coauthVersionLast="47" xr6:coauthVersionMax="47" xr10:uidLastSave="{00000000-0000-0000-0000-000000000000}"/>
  <bookViews>
    <workbookView xWindow="75" yWindow="3735" windowWidth="21600" windowHeight="11835" activeTab="2" xr2:uid="{E5746D7D-8A29-4505-95B8-94EDFAEA9271}"/>
  </bookViews>
  <sheets>
    <sheet name="Sheet1" sheetId="7" r:id="rId1"/>
    <sheet name="SalesJury" sheetId="2" r:id="rId2"/>
    <sheet name="SubjectiveProb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6" l="1"/>
  <c r="D3" i="6" l="1"/>
  <c r="D5" i="6"/>
  <c r="D6" i="6"/>
  <c r="D2" i="6"/>
  <c r="D7" i="6" l="1"/>
  <c r="E3" i="6" l="1"/>
  <c r="E4" i="6"/>
  <c r="E6" i="6"/>
  <c r="E5" i="6"/>
  <c r="E2" i="6"/>
  <c r="E7" i="6" l="1"/>
  <c r="E8" i="6" s="1"/>
</calcChain>
</file>

<file path=xl/sharedStrings.xml><?xml version="1.0" encoding="utf-8"?>
<sst xmlns="http://schemas.openxmlformats.org/spreadsheetml/2006/main" count="125" uniqueCount="33">
  <si>
    <t>Low</t>
  </si>
  <si>
    <t>High</t>
  </si>
  <si>
    <t>Expected Value</t>
  </si>
  <si>
    <t>Below Average</t>
  </si>
  <si>
    <t>Average</t>
  </si>
  <si>
    <t>Above Average</t>
  </si>
  <si>
    <t>Probability</t>
  </si>
  <si>
    <t>Sales Forecast</t>
  </si>
  <si>
    <t>Calculating Standard Deviation</t>
  </si>
  <si>
    <t>Standard Deviation</t>
  </si>
  <si>
    <t>Store Location</t>
  </si>
  <si>
    <t>Sydney</t>
  </si>
  <si>
    <t>New York</t>
  </si>
  <si>
    <t>London</t>
  </si>
  <si>
    <t>Nairobi</t>
  </si>
  <si>
    <t>Caracas</t>
  </si>
  <si>
    <t>Dubai</t>
  </si>
  <si>
    <t>Beijing</t>
  </si>
  <si>
    <t>Daily Sales for the Month of June (Units)</t>
  </si>
  <si>
    <t>Sales Outlook (Sydney)</t>
  </si>
  <si>
    <t>Mean</t>
  </si>
  <si>
    <t>Standard Error</t>
  </si>
  <si>
    <t>Median</t>
  </si>
  <si>
    <t>Mode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</si>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</sst>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EF8F4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2" fillId="0" borderId="2" xfId="0" applyFont="1" applyBorder="1" applyAlignment="1">
      <alignment horizontal="center" vertical="center" wrapText="1"/>
    </xf>
    <xf numFmtId="17" fontId="1" fillId="0" borderId="3" xfId="0" applyNumberFormat="1" applyFont="1" applyBorder="1"/>
    <xf numFmtId="0" fontId="1" fillId="0" borderId="3" xfId="0" applyFont="1" applyBorder="1"/>
    <xf numFmtId="0" fontId="2" fillId="4" borderId="2" xfId="0" applyFont="1" applyFill="1" applyBorder="1" applyAlignment="1">
      <alignment horizontal="center" vertical="center" wrapText="1"/>
    </xf>
    <xf numFmtId="0" fontId="0" fillId="5" borderId="0" xfId="0" applyFill="1"/>
    <xf numFmtId="0" fontId="2" fillId="5" borderId="1" xfId="0" applyFont="1" applyFill="1" applyBorder="1" applyAlignment="1">
      <alignment horizontal="center" vertical="center" wrapText="1"/>
    </xf>
    <xf numFmtId="0" fontId="1" fillId="3" borderId="2" xfId="0" applyFont="1" applyFill="1" applyBorder="1"/>
    <xf numFmtId="0" fontId="1" fillId="0" borderId="2" xfId="0" applyFont="1" applyBorder="1"/>
    <xf numFmtId="0" fontId="1" fillId="0" borderId="1" xfId="0" applyFont="1" applyBorder="1"/>
    <xf numFmtId="0" fontId="1" fillId="2" borderId="3" xfId="0" applyFont="1" applyFill="1" applyBorder="1"/>
    <xf numFmtId="0" fontId="1" fillId="6" borderId="0" xfId="0" applyFont="1" applyFill="1"/>
    <xf numFmtId="1" fontId="0" fillId="6" borderId="0" xfId="0" applyNumberFormat="1" applyFill="1"/>
    <xf numFmtId="3" fontId="0" fillId="3" borderId="0" xfId="0" applyNumberFormat="1" applyFill="1"/>
    <xf numFmtId="0" fontId="0" fillId="0" borderId="0" xfId="0" applyFill="1" applyBorder="1" applyAlignment="1"/>
    <xf numFmtId="0" fontId="0" fillId="0" borderId="4" xfId="0" applyFill="1" applyBorder="1" applyAlignment="1"/>
    <xf numFmtId="0" fontId="4" fillId="0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F8F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65293922721101"/>
          <c:y val="0.17478360843858443"/>
          <c:w val="0.86477046541649172"/>
          <c:h val="0.54783630117485194"/>
        </c:manualLayout>
      </c:layout>
      <c:lineChart>
        <c:grouping val="standard"/>
        <c:varyColors val="0"/>
        <c:ser>
          <c:idx val="0"/>
          <c:order val="0"/>
          <c:tx>
            <c:strRef>
              <c:f>SalesJury!$B$1</c:f>
              <c:strCache>
                <c:ptCount val="1"/>
                <c:pt idx="0">
                  <c:v>Sydney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SalesJury!$B$2:$B$31</c:f>
              <c:numCache>
                <c:formatCode>General</c:formatCode>
                <c:ptCount val="30"/>
                <c:pt idx="0">
                  <c:v>6405</c:v>
                </c:pt>
                <c:pt idx="1">
                  <c:v>4330</c:v>
                </c:pt>
                <c:pt idx="2">
                  <c:v>7368</c:v>
                </c:pt>
                <c:pt idx="3">
                  <c:v>9432</c:v>
                </c:pt>
                <c:pt idx="4">
                  <c:v>7232</c:v>
                </c:pt>
                <c:pt idx="5">
                  <c:v>5346</c:v>
                </c:pt>
                <c:pt idx="6">
                  <c:v>8187</c:v>
                </c:pt>
                <c:pt idx="7">
                  <c:v>2399</c:v>
                </c:pt>
                <c:pt idx="8">
                  <c:v>2627</c:v>
                </c:pt>
                <c:pt idx="9">
                  <c:v>2438</c:v>
                </c:pt>
                <c:pt idx="10">
                  <c:v>8197</c:v>
                </c:pt>
                <c:pt idx="11">
                  <c:v>3933</c:v>
                </c:pt>
                <c:pt idx="12">
                  <c:v>2815</c:v>
                </c:pt>
                <c:pt idx="13">
                  <c:v>5743</c:v>
                </c:pt>
                <c:pt idx="14">
                  <c:v>2377</c:v>
                </c:pt>
                <c:pt idx="15">
                  <c:v>5417</c:v>
                </c:pt>
                <c:pt idx="16">
                  <c:v>1493</c:v>
                </c:pt>
                <c:pt idx="17">
                  <c:v>6953</c:v>
                </c:pt>
                <c:pt idx="18">
                  <c:v>8152</c:v>
                </c:pt>
                <c:pt idx="19">
                  <c:v>7027</c:v>
                </c:pt>
                <c:pt idx="20">
                  <c:v>5176</c:v>
                </c:pt>
                <c:pt idx="21">
                  <c:v>8481</c:v>
                </c:pt>
                <c:pt idx="22">
                  <c:v>3590</c:v>
                </c:pt>
                <c:pt idx="23">
                  <c:v>1846</c:v>
                </c:pt>
                <c:pt idx="24">
                  <c:v>7961</c:v>
                </c:pt>
                <c:pt idx="25">
                  <c:v>8126</c:v>
                </c:pt>
                <c:pt idx="26">
                  <c:v>957</c:v>
                </c:pt>
                <c:pt idx="27">
                  <c:v>3816</c:v>
                </c:pt>
                <c:pt idx="28">
                  <c:v>2183</c:v>
                </c:pt>
                <c:pt idx="29">
                  <c:v>9706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E8-4197-930A-6CBC4D076B1B}"/>
            </c:ext>
          </c:extLst>
        </c:ser>
        <c:ser>
          <c:idx val="1"/>
          <c:order val="1"/>
          <c:tx>
            <c:strRef>
              <c:f>SalesJury!$C$1</c:f>
              <c:strCache>
                <c:ptCount val="1"/>
                <c:pt idx="0">
                  <c:v>New York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SalesJury!$C$2:$C$31</c:f>
              <c:numCache>
                <c:formatCode>General</c:formatCode>
                <c:ptCount val="30"/>
                <c:pt idx="0">
                  <c:v>1159</c:v>
                </c:pt>
                <c:pt idx="1">
                  <c:v>7636</c:v>
                </c:pt>
                <c:pt idx="2">
                  <c:v>4888</c:v>
                </c:pt>
                <c:pt idx="3">
                  <c:v>8439</c:v>
                </c:pt>
                <c:pt idx="4">
                  <c:v>6006</c:v>
                </c:pt>
                <c:pt idx="5">
                  <c:v>8697</c:v>
                </c:pt>
                <c:pt idx="6">
                  <c:v>9191</c:v>
                </c:pt>
                <c:pt idx="7">
                  <c:v>6384</c:v>
                </c:pt>
                <c:pt idx="8">
                  <c:v>2309</c:v>
                </c:pt>
                <c:pt idx="9">
                  <c:v>9170</c:v>
                </c:pt>
                <c:pt idx="10">
                  <c:v>361</c:v>
                </c:pt>
                <c:pt idx="11">
                  <c:v>3916</c:v>
                </c:pt>
                <c:pt idx="12">
                  <c:v>7394</c:v>
                </c:pt>
                <c:pt idx="13">
                  <c:v>8090</c:v>
                </c:pt>
                <c:pt idx="14">
                  <c:v>3882</c:v>
                </c:pt>
                <c:pt idx="15">
                  <c:v>4691</c:v>
                </c:pt>
                <c:pt idx="16">
                  <c:v>1353</c:v>
                </c:pt>
                <c:pt idx="17">
                  <c:v>9221</c:v>
                </c:pt>
                <c:pt idx="18">
                  <c:v>2229</c:v>
                </c:pt>
                <c:pt idx="19">
                  <c:v>588</c:v>
                </c:pt>
                <c:pt idx="20">
                  <c:v>617</c:v>
                </c:pt>
                <c:pt idx="21">
                  <c:v>855</c:v>
                </c:pt>
                <c:pt idx="22">
                  <c:v>4181</c:v>
                </c:pt>
                <c:pt idx="23">
                  <c:v>1841</c:v>
                </c:pt>
                <c:pt idx="24">
                  <c:v>5312</c:v>
                </c:pt>
                <c:pt idx="25">
                  <c:v>5453</c:v>
                </c:pt>
                <c:pt idx="26">
                  <c:v>5079</c:v>
                </c:pt>
                <c:pt idx="27">
                  <c:v>1253</c:v>
                </c:pt>
                <c:pt idx="28">
                  <c:v>3197</c:v>
                </c:pt>
                <c:pt idx="29">
                  <c:v>9888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E8-4197-930A-6CBC4D076B1B}"/>
            </c:ext>
          </c:extLst>
        </c:ser>
        <c:ser>
          <c:idx val="2"/>
          <c:order val="2"/>
          <c:tx>
            <c:strRef>
              <c:f>SalesJury!$D$1</c:f>
              <c:strCache>
                <c:ptCount val="1"/>
                <c:pt idx="0">
                  <c:v>London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SalesJury!$D$2:$D$31</c:f>
              <c:numCache>
                <c:formatCode>General</c:formatCode>
                <c:ptCount val="30"/>
                <c:pt idx="0">
                  <c:v>205</c:v>
                </c:pt>
                <c:pt idx="1">
                  <c:v>47</c:v>
                </c:pt>
                <c:pt idx="2">
                  <c:v>33</c:v>
                </c:pt>
                <c:pt idx="3">
                  <c:v>69</c:v>
                </c:pt>
                <c:pt idx="4">
                  <c:v>88</c:v>
                </c:pt>
                <c:pt idx="5">
                  <c:v>166</c:v>
                </c:pt>
                <c:pt idx="6">
                  <c:v>136</c:v>
                </c:pt>
                <c:pt idx="7">
                  <c:v>150</c:v>
                </c:pt>
                <c:pt idx="8">
                  <c:v>63</c:v>
                </c:pt>
                <c:pt idx="9">
                  <c:v>77</c:v>
                </c:pt>
                <c:pt idx="10">
                  <c:v>116</c:v>
                </c:pt>
                <c:pt idx="11">
                  <c:v>62</c:v>
                </c:pt>
                <c:pt idx="12">
                  <c:v>21</c:v>
                </c:pt>
                <c:pt idx="13">
                  <c:v>54</c:v>
                </c:pt>
                <c:pt idx="14">
                  <c:v>77</c:v>
                </c:pt>
                <c:pt idx="15">
                  <c:v>33</c:v>
                </c:pt>
                <c:pt idx="16">
                  <c:v>58</c:v>
                </c:pt>
                <c:pt idx="17">
                  <c:v>167</c:v>
                </c:pt>
                <c:pt idx="18">
                  <c:v>121</c:v>
                </c:pt>
                <c:pt idx="19">
                  <c:v>127</c:v>
                </c:pt>
                <c:pt idx="20">
                  <c:v>162</c:v>
                </c:pt>
                <c:pt idx="21">
                  <c:v>178</c:v>
                </c:pt>
                <c:pt idx="22">
                  <c:v>142</c:v>
                </c:pt>
                <c:pt idx="23">
                  <c:v>48</c:v>
                </c:pt>
                <c:pt idx="24">
                  <c:v>43</c:v>
                </c:pt>
                <c:pt idx="25">
                  <c:v>23</c:v>
                </c:pt>
                <c:pt idx="26">
                  <c:v>107</c:v>
                </c:pt>
                <c:pt idx="27">
                  <c:v>172</c:v>
                </c:pt>
                <c:pt idx="28">
                  <c:v>196</c:v>
                </c:pt>
                <c:pt idx="29">
                  <c:v>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E8-4197-930A-6CBC4D076B1B}"/>
            </c:ext>
          </c:extLst>
        </c:ser>
        <c:ser>
          <c:idx val="3"/>
          <c:order val="3"/>
          <c:tx>
            <c:strRef>
              <c:f>SalesJury!$E$1</c:f>
              <c:strCache>
                <c:ptCount val="1"/>
                <c:pt idx="0">
                  <c:v>Nairobi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SalesJury!$E$2:$E$31</c:f>
              <c:numCache>
                <c:formatCode>General</c:formatCode>
                <c:ptCount val="30"/>
                <c:pt idx="0">
                  <c:v>26</c:v>
                </c:pt>
                <c:pt idx="1">
                  <c:v>268</c:v>
                </c:pt>
                <c:pt idx="2">
                  <c:v>88</c:v>
                </c:pt>
                <c:pt idx="3">
                  <c:v>248</c:v>
                </c:pt>
                <c:pt idx="4">
                  <c:v>12</c:v>
                </c:pt>
                <c:pt idx="5">
                  <c:v>454</c:v>
                </c:pt>
                <c:pt idx="6">
                  <c:v>117</c:v>
                </c:pt>
                <c:pt idx="7">
                  <c:v>275</c:v>
                </c:pt>
                <c:pt idx="8">
                  <c:v>117</c:v>
                </c:pt>
                <c:pt idx="9">
                  <c:v>407</c:v>
                </c:pt>
                <c:pt idx="10">
                  <c:v>159</c:v>
                </c:pt>
                <c:pt idx="11">
                  <c:v>7</c:v>
                </c:pt>
                <c:pt idx="12">
                  <c:v>115</c:v>
                </c:pt>
                <c:pt idx="13">
                  <c:v>275</c:v>
                </c:pt>
                <c:pt idx="14">
                  <c:v>271</c:v>
                </c:pt>
                <c:pt idx="15">
                  <c:v>198</c:v>
                </c:pt>
                <c:pt idx="16">
                  <c:v>404</c:v>
                </c:pt>
                <c:pt idx="17">
                  <c:v>30</c:v>
                </c:pt>
                <c:pt idx="18">
                  <c:v>68</c:v>
                </c:pt>
                <c:pt idx="19">
                  <c:v>402</c:v>
                </c:pt>
                <c:pt idx="20">
                  <c:v>27</c:v>
                </c:pt>
                <c:pt idx="21">
                  <c:v>361</c:v>
                </c:pt>
                <c:pt idx="22">
                  <c:v>27</c:v>
                </c:pt>
                <c:pt idx="23">
                  <c:v>185</c:v>
                </c:pt>
                <c:pt idx="24">
                  <c:v>484</c:v>
                </c:pt>
                <c:pt idx="25">
                  <c:v>58</c:v>
                </c:pt>
                <c:pt idx="26">
                  <c:v>372</c:v>
                </c:pt>
                <c:pt idx="27">
                  <c:v>189</c:v>
                </c:pt>
                <c:pt idx="28">
                  <c:v>338</c:v>
                </c:pt>
                <c:pt idx="2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E8-4197-930A-6CBC4D076B1B}"/>
            </c:ext>
          </c:extLst>
        </c:ser>
        <c:ser>
          <c:idx val="4"/>
          <c:order val="4"/>
          <c:tx>
            <c:strRef>
              <c:f>SalesJury!$F$1</c:f>
              <c:strCache>
                <c:ptCount val="1"/>
                <c:pt idx="0">
                  <c:v>Caracas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SalesJury!$F$2:$F$31</c:f>
              <c:numCache>
                <c:formatCode>General</c:formatCode>
                <c:ptCount val="30"/>
                <c:pt idx="0">
                  <c:v>5460</c:v>
                </c:pt>
                <c:pt idx="1">
                  <c:v>9616</c:v>
                </c:pt>
                <c:pt idx="2">
                  <c:v>14</c:v>
                </c:pt>
                <c:pt idx="3">
                  <c:v>2571</c:v>
                </c:pt>
                <c:pt idx="4">
                  <c:v>5752</c:v>
                </c:pt>
                <c:pt idx="5">
                  <c:v>8384</c:v>
                </c:pt>
                <c:pt idx="6">
                  <c:v>1564</c:v>
                </c:pt>
                <c:pt idx="7">
                  <c:v>1316</c:v>
                </c:pt>
                <c:pt idx="8">
                  <c:v>2878</c:v>
                </c:pt>
                <c:pt idx="9">
                  <c:v>1621</c:v>
                </c:pt>
                <c:pt idx="10">
                  <c:v>4707</c:v>
                </c:pt>
                <c:pt idx="11">
                  <c:v>9120</c:v>
                </c:pt>
                <c:pt idx="12">
                  <c:v>7818</c:v>
                </c:pt>
                <c:pt idx="13">
                  <c:v>8215</c:v>
                </c:pt>
                <c:pt idx="14">
                  <c:v>9901</c:v>
                </c:pt>
                <c:pt idx="15">
                  <c:v>6266</c:v>
                </c:pt>
                <c:pt idx="16">
                  <c:v>2804</c:v>
                </c:pt>
                <c:pt idx="17">
                  <c:v>2813</c:v>
                </c:pt>
                <c:pt idx="18">
                  <c:v>5575</c:v>
                </c:pt>
                <c:pt idx="19">
                  <c:v>4217</c:v>
                </c:pt>
                <c:pt idx="20">
                  <c:v>5284</c:v>
                </c:pt>
                <c:pt idx="21">
                  <c:v>8927</c:v>
                </c:pt>
                <c:pt idx="22">
                  <c:v>2260</c:v>
                </c:pt>
                <c:pt idx="23">
                  <c:v>9538</c:v>
                </c:pt>
                <c:pt idx="24">
                  <c:v>5703</c:v>
                </c:pt>
                <c:pt idx="25">
                  <c:v>342</c:v>
                </c:pt>
                <c:pt idx="26">
                  <c:v>1434</c:v>
                </c:pt>
                <c:pt idx="27">
                  <c:v>1756</c:v>
                </c:pt>
                <c:pt idx="28">
                  <c:v>8600</c:v>
                </c:pt>
                <c:pt idx="29">
                  <c:v>9908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E8-4197-930A-6CBC4D076B1B}"/>
            </c:ext>
          </c:extLst>
        </c:ser>
        <c:ser>
          <c:idx val="5"/>
          <c:order val="5"/>
          <c:tx>
            <c:strRef>
              <c:f>SalesJury!$G$1</c:f>
              <c:strCache>
                <c:ptCount val="1"/>
                <c:pt idx="0">
                  <c:v>Dubai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SalesJury!$G$2:$G$31</c:f>
              <c:numCache>
                <c:formatCode>General</c:formatCode>
                <c:ptCount val="30"/>
                <c:pt idx="0">
                  <c:v>1809</c:v>
                </c:pt>
                <c:pt idx="1">
                  <c:v>5113</c:v>
                </c:pt>
                <c:pt idx="2">
                  <c:v>1552</c:v>
                </c:pt>
                <c:pt idx="3">
                  <c:v>4189</c:v>
                </c:pt>
                <c:pt idx="4">
                  <c:v>8547</c:v>
                </c:pt>
                <c:pt idx="5">
                  <c:v>9805</c:v>
                </c:pt>
                <c:pt idx="6">
                  <c:v>1484</c:v>
                </c:pt>
                <c:pt idx="7">
                  <c:v>1025</c:v>
                </c:pt>
                <c:pt idx="8">
                  <c:v>4374</c:v>
                </c:pt>
                <c:pt idx="9">
                  <c:v>8865</c:v>
                </c:pt>
                <c:pt idx="10">
                  <c:v>1410</c:v>
                </c:pt>
                <c:pt idx="11">
                  <c:v>4176</c:v>
                </c:pt>
                <c:pt idx="12">
                  <c:v>2704</c:v>
                </c:pt>
                <c:pt idx="13">
                  <c:v>6768</c:v>
                </c:pt>
                <c:pt idx="14">
                  <c:v>7094</c:v>
                </c:pt>
                <c:pt idx="15">
                  <c:v>588</c:v>
                </c:pt>
                <c:pt idx="16">
                  <c:v>3568</c:v>
                </c:pt>
                <c:pt idx="17">
                  <c:v>9625</c:v>
                </c:pt>
                <c:pt idx="18">
                  <c:v>9618</c:v>
                </c:pt>
                <c:pt idx="19">
                  <c:v>3879</c:v>
                </c:pt>
                <c:pt idx="20">
                  <c:v>8256</c:v>
                </c:pt>
                <c:pt idx="21">
                  <c:v>8801</c:v>
                </c:pt>
                <c:pt idx="22">
                  <c:v>7872</c:v>
                </c:pt>
                <c:pt idx="23">
                  <c:v>7207</c:v>
                </c:pt>
                <c:pt idx="24">
                  <c:v>5928</c:v>
                </c:pt>
                <c:pt idx="25">
                  <c:v>1012</c:v>
                </c:pt>
                <c:pt idx="26">
                  <c:v>6541</c:v>
                </c:pt>
                <c:pt idx="27">
                  <c:v>9264</c:v>
                </c:pt>
                <c:pt idx="28">
                  <c:v>7039</c:v>
                </c:pt>
                <c:pt idx="29">
                  <c:v>4312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FE8-4197-930A-6CBC4D076B1B}"/>
            </c:ext>
          </c:extLst>
        </c:ser>
        <c:ser>
          <c:idx val="6"/>
          <c:order val="6"/>
          <c:tx>
            <c:strRef>
              <c:f>SalesJury!$H$1</c:f>
              <c:strCache>
                <c:ptCount val="1"/>
                <c:pt idx="0">
                  <c:v>Beijing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SalesJury!$H$2:$H$31</c:f>
              <c:numCache>
                <c:formatCode>General</c:formatCode>
                <c:ptCount val="30"/>
                <c:pt idx="0">
                  <c:v>5463</c:v>
                </c:pt>
                <c:pt idx="1">
                  <c:v>9621</c:v>
                </c:pt>
                <c:pt idx="2">
                  <c:v>22</c:v>
                </c:pt>
                <c:pt idx="3">
                  <c:v>2574</c:v>
                </c:pt>
                <c:pt idx="4">
                  <c:v>5756</c:v>
                </c:pt>
                <c:pt idx="5">
                  <c:v>8391</c:v>
                </c:pt>
                <c:pt idx="6">
                  <c:v>1564</c:v>
                </c:pt>
                <c:pt idx="7">
                  <c:v>1318</c:v>
                </c:pt>
                <c:pt idx="8">
                  <c:v>2883</c:v>
                </c:pt>
                <c:pt idx="9">
                  <c:v>1627</c:v>
                </c:pt>
                <c:pt idx="10">
                  <c:v>4715</c:v>
                </c:pt>
                <c:pt idx="11">
                  <c:v>9125</c:v>
                </c:pt>
                <c:pt idx="12">
                  <c:v>7820</c:v>
                </c:pt>
                <c:pt idx="13">
                  <c:v>8220</c:v>
                </c:pt>
                <c:pt idx="14">
                  <c:v>9906</c:v>
                </c:pt>
                <c:pt idx="15">
                  <c:v>6274</c:v>
                </c:pt>
                <c:pt idx="16">
                  <c:v>2810</c:v>
                </c:pt>
                <c:pt idx="17">
                  <c:v>2816</c:v>
                </c:pt>
                <c:pt idx="18">
                  <c:v>5582</c:v>
                </c:pt>
                <c:pt idx="19">
                  <c:v>4217</c:v>
                </c:pt>
                <c:pt idx="20">
                  <c:v>5291</c:v>
                </c:pt>
                <c:pt idx="21">
                  <c:v>8936</c:v>
                </c:pt>
                <c:pt idx="22">
                  <c:v>2268</c:v>
                </c:pt>
                <c:pt idx="23">
                  <c:v>9538</c:v>
                </c:pt>
                <c:pt idx="24">
                  <c:v>5708</c:v>
                </c:pt>
                <c:pt idx="25">
                  <c:v>346</c:v>
                </c:pt>
                <c:pt idx="26">
                  <c:v>1439</c:v>
                </c:pt>
                <c:pt idx="27">
                  <c:v>1757</c:v>
                </c:pt>
                <c:pt idx="28">
                  <c:v>8607</c:v>
                </c:pt>
                <c:pt idx="29">
                  <c:v>9909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E8-4197-930A-6CBC4D076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4115040"/>
        <c:axId val="2044114560"/>
      </c:lineChart>
      <c:catAx>
        <c:axId val="2044115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114560"/>
        <c:crosses val="autoZero"/>
        <c:auto val="1"/>
        <c:lblAlgn val="ctr"/>
        <c:lblOffset val="100"/>
        <c:noMultiLvlLbl val="0"/>
      </c:catAx>
      <c:valAx>
        <c:axId val="204411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11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295275</xdr:colOff>
      <xdr:row>19</xdr:row>
      <xdr:rowOff>52387</xdr:rowOff>
    </xdr:from>
    <xdr:to>
      <xdr:col>14</xdr:col>
      <xdr:colOff>66675</xdr:colOff>
      <xdr:row>33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5F6F84-050E-09E3-0514-37389F904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38BE7-5CB0-46EC-B619-F4F77245C88F}">
  <dimension ref="A1:N16"/>
  <sheetViews>
    <sheetView topLeftCell="H1" workbookViewId="0">
      <selection activeCell="A7" sqref="A7:XFD7"/>
    </sheetView>
  </sheetViews>
  <sheetFormatPr defaultRowHeight="15" x14ac:dyDescent="0.25"/>
  <cols>
    <col min="1" max="14" width="19.85546875" customWidth="1"/>
  </cols>
  <sheetData>
    <row r="1" spans="1:14" x14ac:dyDescent="0.25">
      <c r="A1" s="17" t="s">
        <v>11</v>
      </c>
      <c r="B1" s="17"/>
      <c r="C1" s="17" t="s">
        <v>12</v>
      </c>
      <c r="D1" s="17"/>
      <c r="E1" s="17" t="s">
        <v>13</v>
      </c>
      <c r="F1" s="17"/>
      <c r="G1" s="17" t="s">
        <v>14</v>
      </c>
      <c r="H1" s="17"/>
      <c r="I1" s="17" t="s">
        <v>15</v>
      </c>
      <c r="J1" s="17"/>
      <c r="K1" s="17" t="s">
        <v>16</v>
      </c>
      <c r="L1" s="17"/>
      <c r="M1" s="17" t="s">
        <v>17</v>
      </c>
      <c r="N1" s="17"/>
    </row>
    <row r="2" spans="1:14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x14ac:dyDescent="0.25">
      <c r="A3" s="15" t="s">
        <v>20</v>
      </c>
      <c r="B3" s="15">
        <v>5323.7666666666664</v>
      </c>
      <c r="C3" s="15" t="s">
        <v>20</v>
      </c>
      <c r="D3" s="15">
        <v>4776</v>
      </c>
      <c r="E3" s="15" t="s">
        <v>20</v>
      </c>
      <c r="F3" s="15">
        <v>102.73333333333333</v>
      </c>
      <c r="G3" s="15" t="s">
        <v>20</v>
      </c>
      <c r="H3" s="15">
        <v>200.06666666666666</v>
      </c>
      <c r="I3" s="15" t="s">
        <v>20</v>
      </c>
      <c r="J3" s="15">
        <v>5145.4666666666662</v>
      </c>
      <c r="K3" s="15" t="s">
        <v>20</v>
      </c>
      <c r="L3" s="15">
        <v>5414.166666666667</v>
      </c>
      <c r="M3" s="15" t="s">
        <v>20</v>
      </c>
      <c r="N3" s="15">
        <v>5150.1000000000004</v>
      </c>
    </row>
    <row r="4" spans="1:14" x14ac:dyDescent="0.25">
      <c r="A4" s="15" t="s">
        <v>21</v>
      </c>
      <c r="B4" s="15">
        <v>483.1610133167535</v>
      </c>
      <c r="C4" s="15" t="s">
        <v>21</v>
      </c>
      <c r="D4" s="15">
        <v>564.20179605055023</v>
      </c>
      <c r="E4" s="15" t="s">
        <v>21</v>
      </c>
      <c r="F4" s="15">
        <v>10.252886706862354</v>
      </c>
      <c r="G4" s="15" t="s">
        <v>21</v>
      </c>
      <c r="H4" s="15">
        <v>27.655555170720515</v>
      </c>
      <c r="I4" s="15" t="s">
        <v>21</v>
      </c>
      <c r="J4" s="15">
        <v>589.71230611601993</v>
      </c>
      <c r="K4" s="15" t="s">
        <v>21</v>
      </c>
      <c r="L4" s="15">
        <v>555.76158802161422</v>
      </c>
      <c r="M4" s="15" t="s">
        <v>21</v>
      </c>
      <c r="N4" s="15">
        <v>589.73925730715553</v>
      </c>
    </row>
    <row r="5" spans="1:14" x14ac:dyDescent="0.25">
      <c r="A5" s="15" t="s">
        <v>22</v>
      </c>
      <c r="B5" s="15">
        <v>5381.5</v>
      </c>
      <c r="C5" s="15" t="s">
        <v>22</v>
      </c>
      <c r="D5" s="15">
        <v>4789.5</v>
      </c>
      <c r="E5" s="15" t="s">
        <v>22</v>
      </c>
      <c r="F5" s="15">
        <v>97.5</v>
      </c>
      <c r="G5" s="15" t="s">
        <v>22</v>
      </c>
      <c r="H5" s="15">
        <v>187</v>
      </c>
      <c r="I5" s="15" t="s">
        <v>22</v>
      </c>
      <c r="J5" s="15">
        <v>5372</v>
      </c>
      <c r="K5" s="15" t="s">
        <v>22</v>
      </c>
      <c r="L5" s="15">
        <v>5520.5</v>
      </c>
      <c r="M5" s="15" t="s">
        <v>22</v>
      </c>
      <c r="N5" s="15">
        <v>5377</v>
      </c>
    </row>
    <row r="6" spans="1:14" x14ac:dyDescent="0.25">
      <c r="A6" s="15" t="s">
        <v>23</v>
      </c>
      <c r="B6" s="15" t="e">
        <v>#N/A</v>
      </c>
      <c r="C6" s="15" t="s">
        <v>23</v>
      </c>
      <c r="D6" s="15" t="e">
        <v>#N/A</v>
      </c>
      <c r="E6" s="15" t="s">
        <v>23</v>
      </c>
      <c r="F6" s="15">
        <v>33</v>
      </c>
      <c r="G6" s="15" t="s">
        <v>23</v>
      </c>
      <c r="H6" s="15">
        <v>117</v>
      </c>
      <c r="I6" s="15" t="s">
        <v>23</v>
      </c>
      <c r="J6" s="15" t="e">
        <v>#N/A</v>
      </c>
      <c r="K6" s="15" t="s">
        <v>23</v>
      </c>
      <c r="L6" s="15" t="e">
        <v>#N/A</v>
      </c>
      <c r="M6" s="15" t="s">
        <v>23</v>
      </c>
      <c r="N6" s="15" t="e">
        <v>#N/A</v>
      </c>
    </row>
    <row r="7" spans="1:14" x14ac:dyDescent="0.25">
      <c r="A7" s="15" t="s">
        <v>9</v>
      </c>
      <c r="B7" s="15">
        <v>2646.3818590063984</v>
      </c>
      <c r="C7" s="15" t="s">
        <v>9</v>
      </c>
      <c r="D7" s="15">
        <v>3090.2605068181551</v>
      </c>
      <c r="E7" s="15" t="s">
        <v>9</v>
      </c>
      <c r="F7" s="15">
        <v>56.157373288933684</v>
      </c>
      <c r="G7" s="15" t="s">
        <v>9</v>
      </c>
      <c r="H7" s="15">
        <v>151.47571407332262</v>
      </c>
      <c r="I7" s="15" t="s">
        <v>9</v>
      </c>
      <c r="J7" s="15">
        <v>3229.9873249813586</v>
      </c>
      <c r="K7" s="15" t="s">
        <v>9</v>
      </c>
      <c r="L7" s="15">
        <v>3044.0315835433103</v>
      </c>
      <c r="M7" s="15" t="s">
        <v>9</v>
      </c>
      <c r="N7" s="15">
        <v>3230.1349427347245</v>
      </c>
    </row>
    <row r="8" spans="1:14" x14ac:dyDescent="0.25">
      <c r="A8" s="15" t="s">
        <v>24</v>
      </c>
      <c r="B8" s="15">
        <v>7003336.9436781611</v>
      </c>
      <c r="C8" s="15" t="s">
        <v>24</v>
      </c>
      <c r="D8" s="15">
        <v>9549710</v>
      </c>
      <c r="E8" s="15" t="s">
        <v>24</v>
      </c>
      <c r="F8" s="15">
        <v>3153.6505747126425</v>
      </c>
      <c r="G8" s="15" t="s">
        <v>24</v>
      </c>
      <c r="H8" s="15">
        <v>22944.891954022991</v>
      </c>
      <c r="I8" s="15" t="s">
        <v>24</v>
      </c>
      <c r="J8" s="15">
        <v>10432818.119540231</v>
      </c>
      <c r="K8" s="15" t="s">
        <v>24</v>
      </c>
      <c r="L8" s="15">
        <v>9266128.2816091944</v>
      </c>
      <c r="M8" s="15" t="s">
        <v>24</v>
      </c>
      <c r="N8" s="15">
        <v>10433771.748275863</v>
      </c>
    </row>
    <row r="9" spans="1:14" x14ac:dyDescent="0.25">
      <c r="A9" s="15" t="s">
        <v>25</v>
      </c>
      <c r="B9" s="15">
        <v>-1.3810636554484617</v>
      </c>
      <c r="C9" s="15" t="s">
        <v>25</v>
      </c>
      <c r="D9" s="15">
        <v>-1.322010508687208</v>
      </c>
      <c r="E9" s="15" t="s">
        <v>25</v>
      </c>
      <c r="F9" s="15">
        <v>-1.3002443007897355</v>
      </c>
      <c r="G9" s="15" t="s">
        <v>25</v>
      </c>
      <c r="H9" s="15">
        <v>-1.2290883535878461</v>
      </c>
      <c r="I9" s="15" t="s">
        <v>25</v>
      </c>
      <c r="J9" s="15">
        <v>-1.4170476137254242</v>
      </c>
      <c r="K9" s="15" t="s">
        <v>25</v>
      </c>
      <c r="L9" s="15">
        <v>-1.3737479140823812</v>
      </c>
      <c r="M9" s="15" t="s">
        <v>25</v>
      </c>
      <c r="N9" s="15">
        <v>-1.4178960763565525</v>
      </c>
    </row>
    <row r="10" spans="1:14" x14ac:dyDescent="0.25">
      <c r="A10" s="15" t="s">
        <v>26</v>
      </c>
      <c r="B10" s="15">
        <v>-2.7233576952296792E-2</v>
      </c>
      <c r="C10" s="15" t="s">
        <v>26</v>
      </c>
      <c r="D10" s="15">
        <v>0.12616744650327283</v>
      </c>
      <c r="E10" s="15" t="s">
        <v>26</v>
      </c>
      <c r="F10" s="15">
        <v>0.19936622095740472</v>
      </c>
      <c r="G10" s="15" t="s">
        <v>26</v>
      </c>
      <c r="H10" s="15">
        <v>0.31546740516768307</v>
      </c>
      <c r="I10" s="15" t="s">
        <v>26</v>
      </c>
      <c r="J10" s="15">
        <v>7.7396939593320085E-2</v>
      </c>
      <c r="K10" s="15" t="s">
        <v>26</v>
      </c>
      <c r="L10" s="15">
        <v>-0.11749296860687637</v>
      </c>
      <c r="M10" s="15" t="s">
        <v>26</v>
      </c>
      <c r="N10" s="15">
        <v>7.7139108383749155E-2</v>
      </c>
    </row>
    <row r="11" spans="1:14" x14ac:dyDescent="0.25">
      <c r="A11" s="15" t="s">
        <v>27</v>
      </c>
      <c r="B11" s="15">
        <v>8749</v>
      </c>
      <c r="C11" s="15" t="s">
        <v>27</v>
      </c>
      <c r="D11" s="15">
        <v>9527</v>
      </c>
      <c r="E11" s="15" t="s">
        <v>27</v>
      </c>
      <c r="F11" s="15">
        <v>184</v>
      </c>
      <c r="G11" s="15" t="s">
        <v>27</v>
      </c>
      <c r="H11" s="15">
        <v>477</v>
      </c>
      <c r="I11" s="15" t="s">
        <v>27</v>
      </c>
      <c r="J11" s="15">
        <v>9894</v>
      </c>
      <c r="K11" s="15" t="s">
        <v>27</v>
      </c>
      <c r="L11" s="15">
        <v>9217</v>
      </c>
      <c r="M11" s="15" t="s">
        <v>27</v>
      </c>
      <c r="N11" s="15">
        <v>9887</v>
      </c>
    </row>
    <row r="12" spans="1:14" x14ac:dyDescent="0.25">
      <c r="A12" s="15" t="s">
        <v>28</v>
      </c>
      <c r="B12" s="15">
        <v>957</v>
      </c>
      <c r="C12" s="15" t="s">
        <v>28</v>
      </c>
      <c r="D12" s="15">
        <v>361</v>
      </c>
      <c r="E12" s="15" t="s">
        <v>28</v>
      </c>
      <c r="F12" s="15">
        <v>21</v>
      </c>
      <c r="G12" s="15" t="s">
        <v>28</v>
      </c>
      <c r="H12" s="15">
        <v>7</v>
      </c>
      <c r="I12" s="15" t="s">
        <v>28</v>
      </c>
      <c r="J12" s="15">
        <v>14</v>
      </c>
      <c r="K12" s="15" t="s">
        <v>28</v>
      </c>
      <c r="L12" s="15">
        <v>588</v>
      </c>
      <c r="M12" s="15" t="s">
        <v>28</v>
      </c>
      <c r="N12" s="15">
        <v>22</v>
      </c>
    </row>
    <row r="13" spans="1:14" x14ac:dyDescent="0.25">
      <c r="A13" s="15" t="s">
        <v>29</v>
      </c>
      <c r="B13" s="15">
        <v>9706</v>
      </c>
      <c r="C13" s="15" t="s">
        <v>29</v>
      </c>
      <c r="D13" s="15">
        <v>9888</v>
      </c>
      <c r="E13" s="15" t="s">
        <v>29</v>
      </c>
      <c r="F13" s="15">
        <v>205</v>
      </c>
      <c r="G13" s="15" t="s">
        <v>29</v>
      </c>
      <c r="H13" s="15">
        <v>484</v>
      </c>
      <c r="I13" s="15" t="s">
        <v>29</v>
      </c>
      <c r="J13" s="15">
        <v>9908</v>
      </c>
      <c r="K13" s="15" t="s">
        <v>29</v>
      </c>
      <c r="L13" s="15">
        <v>9805</v>
      </c>
      <c r="M13" s="15" t="s">
        <v>29</v>
      </c>
      <c r="N13" s="15">
        <v>9909</v>
      </c>
    </row>
    <row r="14" spans="1:14" x14ac:dyDescent="0.25">
      <c r="A14" s="15" t="s">
        <v>30</v>
      </c>
      <c r="B14" s="15">
        <v>159713</v>
      </c>
      <c r="C14" s="15" t="s">
        <v>30</v>
      </c>
      <c r="D14" s="15">
        <v>143280</v>
      </c>
      <c r="E14" s="15" t="s">
        <v>30</v>
      </c>
      <c r="F14" s="15">
        <v>3082</v>
      </c>
      <c r="G14" s="15" t="s">
        <v>30</v>
      </c>
      <c r="H14" s="15">
        <v>6002</v>
      </c>
      <c r="I14" s="15" t="s">
        <v>30</v>
      </c>
      <c r="J14" s="15">
        <v>154364</v>
      </c>
      <c r="K14" s="15" t="s">
        <v>30</v>
      </c>
      <c r="L14" s="15">
        <v>162425</v>
      </c>
      <c r="M14" s="15" t="s">
        <v>30</v>
      </c>
      <c r="N14" s="15">
        <v>154503</v>
      </c>
    </row>
    <row r="15" spans="1:14" x14ac:dyDescent="0.25">
      <c r="A15" s="15" t="s">
        <v>31</v>
      </c>
      <c r="B15" s="15">
        <v>30</v>
      </c>
      <c r="C15" s="15" t="s">
        <v>31</v>
      </c>
      <c r="D15" s="15">
        <v>30</v>
      </c>
      <c r="E15" s="15" t="s">
        <v>31</v>
      </c>
      <c r="F15" s="15">
        <v>30</v>
      </c>
      <c r="G15" s="15" t="s">
        <v>31</v>
      </c>
      <c r="H15" s="15">
        <v>30</v>
      </c>
      <c r="I15" s="15" t="s">
        <v>31</v>
      </c>
      <c r="J15" s="15">
        <v>30</v>
      </c>
      <c r="K15" s="15" t="s">
        <v>31</v>
      </c>
      <c r="L15" s="15">
        <v>30</v>
      </c>
      <c r="M15" s="15" t="s">
        <v>31</v>
      </c>
      <c r="N15" s="15">
        <v>30</v>
      </c>
    </row>
    <row r="16" spans="1:14" ht="15.75" thickBot="1" x14ac:dyDescent="0.3">
      <c r="A16" s="16" t="s">
        <v>32</v>
      </c>
      <c r="B16" s="16">
        <v>988.17522635829812</v>
      </c>
      <c r="C16" s="16" t="s">
        <v>32</v>
      </c>
      <c r="D16" s="16">
        <v>1153.9222374270953</v>
      </c>
      <c r="E16" s="16" t="s">
        <v>32</v>
      </c>
      <c r="F16" s="16">
        <v>20.969507810303245</v>
      </c>
      <c r="G16" s="16" t="s">
        <v>32</v>
      </c>
      <c r="H16" s="16">
        <v>56.561961204793953</v>
      </c>
      <c r="I16" s="16" t="s">
        <v>32</v>
      </c>
      <c r="J16" s="16">
        <v>1206.0970887989188</v>
      </c>
      <c r="K16" s="16" t="s">
        <v>32</v>
      </c>
      <c r="L16" s="16">
        <v>1136.6600737805491</v>
      </c>
      <c r="M16" s="16" t="s">
        <v>32</v>
      </c>
      <c r="N16" s="16">
        <v>1206.1522101739199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1B85-A0BF-4378-B8A9-2331FFF58DEA}">
  <dimension ref="A1:I31"/>
  <sheetViews>
    <sheetView topLeftCell="A10" zoomScale="93" zoomScaleNormal="100" workbookViewId="0">
      <selection activeCell="I18" sqref="I18"/>
    </sheetView>
  </sheetViews>
  <sheetFormatPr defaultColWidth="12" defaultRowHeight="15" x14ac:dyDescent="0.25"/>
  <cols>
    <col min="1" max="1" width="11.85546875" style="4" customWidth="1"/>
  </cols>
  <sheetData>
    <row r="1" spans="1:9" s="2" customFormat="1" ht="41.65" customHeight="1" thickBot="1" x14ac:dyDescent="0.3">
      <c r="A1" s="7" t="s">
        <v>18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10</v>
      </c>
    </row>
    <row r="2" spans="1:9" x14ac:dyDescent="0.25">
      <c r="A2" s="3">
        <v>37043</v>
      </c>
      <c r="B2" s="6">
        <v>6405</v>
      </c>
      <c r="C2" s="6">
        <v>1159</v>
      </c>
      <c r="D2" s="6">
        <v>205</v>
      </c>
      <c r="E2" s="6">
        <v>26</v>
      </c>
      <c r="F2" s="6">
        <v>5460</v>
      </c>
      <c r="G2" s="6">
        <v>1809</v>
      </c>
      <c r="H2" s="6">
        <v>5463</v>
      </c>
    </row>
    <row r="3" spans="1:9" x14ac:dyDescent="0.25">
      <c r="A3" s="3">
        <v>37408</v>
      </c>
      <c r="B3" s="6">
        <v>4330</v>
      </c>
      <c r="C3" s="6">
        <v>7636</v>
      </c>
      <c r="D3" s="6">
        <v>47</v>
      </c>
      <c r="E3" s="6">
        <v>268</v>
      </c>
      <c r="F3" s="6">
        <v>9616</v>
      </c>
      <c r="G3" s="6">
        <v>5113</v>
      </c>
      <c r="H3" s="6">
        <v>9621</v>
      </c>
    </row>
    <row r="4" spans="1:9" x14ac:dyDescent="0.25">
      <c r="A4" s="3">
        <v>37773</v>
      </c>
      <c r="B4" s="6">
        <v>7368</v>
      </c>
      <c r="C4" s="6">
        <v>4888</v>
      </c>
      <c r="D4" s="6">
        <v>33</v>
      </c>
      <c r="E4" s="6">
        <v>88</v>
      </c>
      <c r="F4" s="6">
        <v>14</v>
      </c>
      <c r="G4" s="6">
        <v>1552</v>
      </c>
      <c r="H4" s="6">
        <v>22</v>
      </c>
    </row>
    <row r="5" spans="1:9" x14ac:dyDescent="0.25">
      <c r="A5" s="3">
        <v>38139</v>
      </c>
      <c r="B5" s="6">
        <v>9432</v>
      </c>
      <c r="C5" s="6">
        <v>8439</v>
      </c>
      <c r="D5" s="6">
        <v>69</v>
      </c>
      <c r="E5" s="6">
        <v>248</v>
      </c>
      <c r="F5" s="6">
        <v>2571</v>
      </c>
      <c r="G5" s="6">
        <v>4189</v>
      </c>
      <c r="H5" s="6">
        <v>2574</v>
      </c>
    </row>
    <row r="6" spans="1:9" x14ac:dyDescent="0.25">
      <c r="A6" s="3">
        <v>38504</v>
      </c>
      <c r="B6" s="6">
        <v>7232</v>
      </c>
      <c r="C6" s="6">
        <v>6006</v>
      </c>
      <c r="D6" s="6">
        <v>88</v>
      </c>
      <c r="E6" s="6">
        <v>12</v>
      </c>
      <c r="F6" s="6">
        <v>5752</v>
      </c>
      <c r="G6" s="6">
        <v>8547</v>
      </c>
      <c r="H6" s="6">
        <v>5756</v>
      </c>
    </row>
    <row r="7" spans="1:9" x14ac:dyDescent="0.25">
      <c r="A7" s="3">
        <v>38869</v>
      </c>
      <c r="B7" s="6">
        <v>5346</v>
      </c>
      <c r="C7" s="6">
        <v>8697</v>
      </c>
      <c r="D7" s="6">
        <v>166</v>
      </c>
      <c r="E7" s="6">
        <v>454</v>
      </c>
      <c r="F7" s="6">
        <v>8384</v>
      </c>
      <c r="G7" s="6">
        <v>9805</v>
      </c>
      <c r="H7" s="6">
        <v>8391</v>
      </c>
    </row>
    <row r="8" spans="1:9" x14ac:dyDescent="0.25">
      <c r="A8" s="3">
        <v>39234</v>
      </c>
      <c r="B8" s="6">
        <v>8187</v>
      </c>
      <c r="C8" s="6">
        <v>9191</v>
      </c>
      <c r="D8" s="6">
        <v>136</v>
      </c>
      <c r="E8" s="6">
        <v>117</v>
      </c>
      <c r="F8" s="6">
        <v>1564</v>
      </c>
      <c r="G8" s="6">
        <v>1484</v>
      </c>
      <c r="H8" s="6">
        <v>1564</v>
      </c>
    </row>
    <row r="9" spans="1:9" x14ac:dyDescent="0.25">
      <c r="A9" s="3">
        <v>39600</v>
      </c>
      <c r="B9" s="6">
        <v>2399</v>
      </c>
      <c r="C9" s="6">
        <v>6384</v>
      </c>
      <c r="D9" s="6">
        <v>150</v>
      </c>
      <c r="E9" s="6">
        <v>275</v>
      </c>
      <c r="F9" s="6">
        <v>1316</v>
      </c>
      <c r="G9" s="6">
        <v>1025</v>
      </c>
      <c r="H9" s="6">
        <v>1318</v>
      </c>
    </row>
    <row r="10" spans="1:9" x14ac:dyDescent="0.25">
      <c r="A10" s="3">
        <v>39965</v>
      </c>
      <c r="B10" s="6">
        <v>2627</v>
      </c>
      <c r="C10" s="6">
        <v>2309</v>
      </c>
      <c r="D10" s="6">
        <v>63</v>
      </c>
      <c r="E10" s="6">
        <v>117</v>
      </c>
      <c r="F10" s="6">
        <v>2878</v>
      </c>
      <c r="G10" s="6">
        <v>4374</v>
      </c>
      <c r="H10" s="6">
        <v>2883</v>
      </c>
    </row>
    <row r="11" spans="1:9" x14ac:dyDescent="0.25">
      <c r="A11" s="3">
        <v>40330</v>
      </c>
      <c r="B11" s="6">
        <v>2438</v>
      </c>
      <c r="C11" s="6">
        <v>9170</v>
      </c>
      <c r="D11" s="6">
        <v>77</v>
      </c>
      <c r="E11" s="6">
        <v>407</v>
      </c>
      <c r="F11" s="6">
        <v>1621</v>
      </c>
      <c r="G11" s="6">
        <v>8865</v>
      </c>
      <c r="H11" s="6">
        <v>1627</v>
      </c>
    </row>
    <row r="12" spans="1:9" x14ac:dyDescent="0.25">
      <c r="A12" s="3">
        <v>40695</v>
      </c>
      <c r="B12" s="6">
        <v>8197</v>
      </c>
      <c r="C12" s="6">
        <v>361</v>
      </c>
      <c r="D12" s="6">
        <v>116</v>
      </c>
      <c r="E12" s="6">
        <v>159</v>
      </c>
      <c r="F12" s="6">
        <v>4707</v>
      </c>
      <c r="G12" s="6">
        <v>1410</v>
      </c>
      <c r="H12" s="6">
        <v>4715</v>
      </c>
    </row>
    <row r="13" spans="1:9" x14ac:dyDescent="0.25">
      <c r="A13" s="3">
        <v>41061</v>
      </c>
      <c r="B13" s="6">
        <v>3933</v>
      </c>
      <c r="C13" s="6">
        <v>3916</v>
      </c>
      <c r="D13" s="6">
        <v>62</v>
      </c>
      <c r="E13" s="6">
        <v>7</v>
      </c>
      <c r="F13" s="6">
        <v>9120</v>
      </c>
      <c r="G13" s="6">
        <v>4176</v>
      </c>
      <c r="H13" s="6">
        <v>9125</v>
      </c>
    </row>
    <row r="14" spans="1:9" x14ac:dyDescent="0.25">
      <c r="A14" s="3">
        <v>41426</v>
      </c>
      <c r="B14" s="6">
        <v>2815</v>
      </c>
      <c r="C14" s="6">
        <v>7394</v>
      </c>
      <c r="D14" s="6">
        <v>21</v>
      </c>
      <c r="E14" s="6">
        <v>115</v>
      </c>
      <c r="F14" s="6">
        <v>7818</v>
      </c>
      <c r="G14" s="6">
        <v>2704</v>
      </c>
      <c r="H14" s="6">
        <v>7820</v>
      </c>
    </row>
    <row r="15" spans="1:9" x14ac:dyDescent="0.25">
      <c r="A15" s="3">
        <v>41791</v>
      </c>
      <c r="B15" s="6">
        <v>5743</v>
      </c>
      <c r="C15" s="6">
        <v>8090</v>
      </c>
      <c r="D15" s="6">
        <v>54</v>
      </c>
      <c r="E15" s="6">
        <v>275</v>
      </c>
      <c r="F15" s="6">
        <v>8215</v>
      </c>
      <c r="G15" s="6">
        <v>6768</v>
      </c>
      <c r="H15" s="6">
        <v>8220</v>
      </c>
    </row>
    <row r="16" spans="1:9" x14ac:dyDescent="0.25">
      <c r="A16" s="3">
        <v>42156</v>
      </c>
      <c r="B16" s="6">
        <v>2377</v>
      </c>
      <c r="C16" s="6">
        <v>3882</v>
      </c>
      <c r="D16" s="6">
        <v>77</v>
      </c>
      <c r="E16" s="6">
        <v>271</v>
      </c>
      <c r="F16" s="6">
        <v>9901</v>
      </c>
      <c r="G16" s="6">
        <v>7094</v>
      </c>
      <c r="H16" s="6">
        <v>9906</v>
      </c>
    </row>
    <row r="17" spans="1:8" x14ac:dyDescent="0.25">
      <c r="A17" s="3">
        <v>42522</v>
      </c>
      <c r="B17" s="6">
        <v>5417</v>
      </c>
      <c r="C17" s="6">
        <v>4691</v>
      </c>
      <c r="D17" s="6">
        <v>33</v>
      </c>
      <c r="E17" s="6">
        <v>198</v>
      </c>
      <c r="F17" s="6">
        <v>6266</v>
      </c>
      <c r="G17" s="6">
        <v>588</v>
      </c>
      <c r="H17" s="6">
        <v>6274</v>
      </c>
    </row>
    <row r="18" spans="1:8" x14ac:dyDescent="0.25">
      <c r="A18" s="3">
        <v>42887</v>
      </c>
      <c r="B18" s="6">
        <v>1493</v>
      </c>
      <c r="C18" s="6">
        <v>1353</v>
      </c>
      <c r="D18" s="6">
        <v>58</v>
      </c>
      <c r="E18" s="6">
        <v>404</v>
      </c>
      <c r="F18" s="6">
        <v>2804</v>
      </c>
      <c r="G18" s="6">
        <v>3568</v>
      </c>
      <c r="H18" s="6">
        <v>2810</v>
      </c>
    </row>
    <row r="19" spans="1:8" x14ac:dyDescent="0.25">
      <c r="A19" s="3">
        <v>43252</v>
      </c>
      <c r="B19" s="6">
        <v>6953</v>
      </c>
      <c r="C19" s="6">
        <v>9221</v>
      </c>
      <c r="D19" s="6">
        <v>167</v>
      </c>
      <c r="E19" s="6">
        <v>30</v>
      </c>
      <c r="F19" s="6">
        <v>2813</v>
      </c>
      <c r="G19" s="6">
        <v>9625</v>
      </c>
      <c r="H19" s="6">
        <v>2816</v>
      </c>
    </row>
    <row r="20" spans="1:8" x14ac:dyDescent="0.25">
      <c r="A20" s="3">
        <v>43617</v>
      </c>
      <c r="B20" s="6">
        <v>8152</v>
      </c>
      <c r="C20" s="6">
        <v>2229</v>
      </c>
      <c r="D20" s="6">
        <v>121</v>
      </c>
      <c r="E20" s="6">
        <v>68</v>
      </c>
      <c r="F20" s="6">
        <v>5575</v>
      </c>
      <c r="G20" s="6">
        <v>9618</v>
      </c>
      <c r="H20" s="6">
        <v>5582</v>
      </c>
    </row>
    <row r="21" spans="1:8" x14ac:dyDescent="0.25">
      <c r="A21" s="3">
        <v>43983</v>
      </c>
      <c r="B21" s="6">
        <v>7027</v>
      </c>
      <c r="C21" s="6">
        <v>588</v>
      </c>
      <c r="D21" s="6">
        <v>127</v>
      </c>
      <c r="E21" s="6">
        <v>402</v>
      </c>
      <c r="F21" s="6">
        <v>4217</v>
      </c>
      <c r="G21" s="6">
        <v>3879</v>
      </c>
      <c r="H21" s="6">
        <v>4217</v>
      </c>
    </row>
    <row r="22" spans="1:8" x14ac:dyDescent="0.25">
      <c r="A22" s="3">
        <v>44348</v>
      </c>
      <c r="B22" s="6">
        <v>5176</v>
      </c>
      <c r="C22" s="6">
        <v>617</v>
      </c>
      <c r="D22" s="6">
        <v>162</v>
      </c>
      <c r="E22" s="6">
        <v>27</v>
      </c>
      <c r="F22" s="6">
        <v>5284</v>
      </c>
      <c r="G22" s="6">
        <v>8256</v>
      </c>
      <c r="H22" s="6">
        <v>5291</v>
      </c>
    </row>
    <row r="23" spans="1:8" x14ac:dyDescent="0.25">
      <c r="A23" s="3">
        <v>44713</v>
      </c>
      <c r="B23" s="6">
        <v>8481</v>
      </c>
      <c r="C23" s="6">
        <v>855</v>
      </c>
      <c r="D23" s="6">
        <v>178</v>
      </c>
      <c r="E23" s="6">
        <v>361</v>
      </c>
      <c r="F23" s="6">
        <v>8927</v>
      </c>
      <c r="G23" s="6">
        <v>8801</v>
      </c>
      <c r="H23" s="6">
        <v>8936</v>
      </c>
    </row>
    <row r="24" spans="1:8" x14ac:dyDescent="0.25">
      <c r="A24" s="3">
        <v>45078</v>
      </c>
      <c r="B24" s="6">
        <v>3590</v>
      </c>
      <c r="C24" s="6">
        <v>4181</v>
      </c>
      <c r="D24" s="6">
        <v>142</v>
      </c>
      <c r="E24" s="6">
        <v>27</v>
      </c>
      <c r="F24" s="6">
        <v>2260</v>
      </c>
      <c r="G24" s="6">
        <v>7872</v>
      </c>
      <c r="H24" s="6">
        <v>2268</v>
      </c>
    </row>
    <row r="25" spans="1:8" x14ac:dyDescent="0.25">
      <c r="A25" s="3">
        <v>45444</v>
      </c>
      <c r="B25" s="6">
        <v>1846</v>
      </c>
      <c r="C25" s="6">
        <v>1841</v>
      </c>
      <c r="D25" s="6">
        <v>48</v>
      </c>
      <c r="E25" s="6">
        <v>185</v>
      </c>
      <c r="F25" s="6">
        <v>9538</v>
      </c>
      <c r="G25" s="6">
        <v>7207</v>
      </c>
      <c r="H25" s="6">
        <v>9538</v>
      </c>
    </row>
    <row r="26" spans="1:8" x14ac:dyDescent="0.25">
      <c r="A26" s="3">
        <v>45809</v>
      </c>
      <c r="B26" s="6">
        <v>7961</v>
      </c>
      <c r="C26" s="6">
        <v>5312</v>
      </c>
      <c r="D26" s="6">
        <v>43</v>
      </c>
      <c r="E26" s="6">
        <v>484</v>
      </c>
      <c r="F26" s="6">
        <v>5703</v>
      </c>
      <c r="G26" s="6">
        <v>5928</v>
      </c>
      <c r="H26" s="6">
        <v>5708</v>
      </c>
    </row>
    <row r="27" spans="1:8" x14ac:dyDescent="0.25">
      <c r="A27" s="3">
        <v>46174</v>
      </c>
      <c r="B27" s="6">
        <v>8126</v>
      </c>
      <c r="C27" s="6">
        <v>5453</v>
      </c>
      <c r="D27" s="6">
        <v>23</v>
      </c>
      <c r="E27" s="6">
        <v>58</v>
      </c>
      <c r="F27" s="6">
        <v>342</v>
      </c>
      <c r="G27" s="6">
        <v>1012</v>
      </c>
      <c r="H27" s="6">
        <v>346</v>
      </c>
    </row>
    <row r="28" spans="1:8" x14ac:dyDescent="0.25">
      <c r="A28" s="3">
        <v>46539</v>
      </c>
      <c r="B28" s="6">
        <v>957</v>
      </c>
      <c r="C28" s="6">
        <v>5079</v>
      </c>
      <c r="D28" s="6">
        <v>107</v>
      </c>
      <c r="E28" s="6">
        <v>372</v>
      </c>
      <c r="F28" s="6">
        <v>1434</v>
      </c>
      <c r="G28" s="6">
        <v>6541</v>
      </c>
      <c r="H28" s="6">
        <v>1439</v>
      </c>
    </row>
    <row r="29" spans="1:8" x14ac:dyDescent="0.25">
      <c r="A29" s="3">
        <v>46905</v>
      </c>
      <c r="B29" s="6">
        <v>3816</v>
      </c>
      <c r="C29" s="6">
        <v>1253</v>
      </c>
      <c r="D29" s="6">
        <v>172</v>
      </c>
      <c r="E29" s="6">
        <v>189</v>
      </c>
      <c r="F29" s="6">
        <v>1756</v>
      </c>
      <c r="G29" s="6">
        <v>9264</v>
      </c>
      <c r="H29" s="6">
        <v>1757</v>
      </c>
    </row>
    <row r="30" spans="1:8" x14ac:dyDescent="0.25">
      <c r="A30" s="3">
        <v>47270</v>
      </c>
      <c r="B30" s="6">
        <v>2183</v>
      </c>
      <c r="C30" s="6">
        <v>3197</v>
      </c>
      <c r="D30" s="6">
        <v>196</v>
      </c>
      <c r="E30" s="6">
        <v>338</v>
      </c>
      <c r="F30" s="6">
        <v>8600</v>
      </c>
      <c r="G30" s="6">
        <v>7039</v>
      </c>
      <c r="H30" s="6">
        <v>8607</v>
      </c>
    </row>
    <row r="31" spans="1:8" x14ac:dyDescent="0.25">
      <c r="A31" s="3">
        <v>47635</v>
      </c>
      <c r="B31" s="6">
        <v>9706</v>
      </c>
      <c r="C31" s="6">
        <v>9888</v>
      </c>
      <c r="D31" s="6">
        <v>141</v>
      </c>
      <c r="E31" s="6">
        <v>20</v>
      </c>
      <c r="F31" s="6">
        <v>9908</v>
      </c>
      <c r="G31" s="6">
        <v>4312</v>
      </c>
      <c r="H31" s="6">
        <v>9909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6699-8422-43E2-BB98-45F9175B8769}">
  <dimension ref="A1:F8"/>
  <sheetViews>
    <sheetView tabSelected="1" zoomScaleNormal="100" workbookViewId="0">
      <selection activeCell="C4" sqref="C4"/>
    </sheetView>
  </sheetViews>
  <sheetFormatPr defaultRowHeight="15" x14ac:dyDescent="0.25"/>
  <cols>
    <col min="1" max="1" width="24.7109375" style="4" bestFit="1" customWidth="1"/>
    <col min="2" max="2" width="13.5703125" bestFit="1" customWidth="1"/>
    <col min="3" max="3" width="10.7109375" bestFit="1" customWidth="1"/>
    <col min="4" max="4" width="14.85546875" bestFit="1" customWidth="1"/>
    <col min="5" max="5" width="28.5703125" bestFit="1" customWidth="1"/>
    <col min="6" max="6" width="18.140625" bestFit="1" customWidth="1"/>
  </cols>
  <sheetData>
    <row r="1" spans="1:6" s="9" customFormat="1" ht="15.75" thickBot="1" x14ac:dyDescent="0.3">
      <c r="A1" s="10" t="s">
        <v>19</v>
      </c>
      <c r="B1" s="8" t="s">
        <v>7</v>
      </c>
      <c r="C1" s="9" t="s">
        <v>6</v>
      </c>
      <c r="D1" s="9" t="s">
        <v>2</v>
      </c>
      <c r="E1" s="9" t="s">
        <v>8</v>
      </c>
    </row>
    <row r="2" spans="1:6" x14ac:dyDescent="0.25">
      <c r="A2" s="4" t="s">
        <v>0</v>
      </c>
      <c r="B2" s="14">
        <v>1000</v>
      </c>
      <c r="C2">
        <v>0.3</v>
      </c>
      <c r="D2">
        <f>B2*C2</f>
        <v>300</v>
      </c>
      <c r="E2">
        <f>((B2-$D$7)^2)*C2</f>
        <v>3267000</v>
      </c>
    </row>
    <row r="3" spans="1:6" x14ac:dyDescent="0.25">
      <c r="A3" s="4" t="s">
        <v>3</v>
      </c>
      <c r="B3" s="14">
        <v>4000</v>
      </c>
      <c r="C3">
        <v>0.3</v>
      </c>
      <c r="D3">
        <f t="shared" ref="D3:D6" si="0">B3*C3</f>
        <v>1200</v>
      </c>
      <c r="E3">
        <f t="shared" ref="E3:E6" si="1">((B3-$D$7)^2)*C3</f>
        <v>27000</v>
      </c>
    </row>
    <row r="4" spans="1:6" x14ac:dyDescent="0.25">
      <c r="A4" s="4" t="s">
        <v>4</v>
      </c>
      <c r="B4" s="14">
        <v>5500</v>
      </c>
      <c r="C4">
        <v>0.2</v>
      </c>
      <c r="D4">
        <f t="shared" si="0"/>
        <v>1100</v>
      </c>
      <c r="E4">
        <f t="shared" si="1"/>
        <v>288000</v>
      </c>
    </row>
    <row r="5" spans="1:6" x14ac:dyDescent="0.25">
      <c r="A5" s="4" t="s">
        <v>5</v>
      </c>
      <c r="B5" s="14">
        <v>7000</v>
      </c>
      <c r="C5">
        <v>0.1</v>
      </c>
      <c r="D5">
        <f t="shared" si="0"/>
        <v>700</v>
      </c>
      <c r="E5">
        <f t="shared" si="1"/>
        <v>729000</v>
      </c>
    </row>
    <row r="6" spans="1:6" x14ac:dyDescent="0.25">
      <c r="A6" s="4" t="s">
        <v>1</v>
      </c>
      <c r="B6" s="14">
        <v>10000</v>
      </c>
      <c r="C6">
        <v>0.1</v>
      </c>
      <c r="D6">
        <f t="shared" si="0"/>
        <v>1000</v>
      </c>
      <c r="E6">
        <f t="shared" si="1"/>
        <v>3249000</v>
      </c>
    </row>
    <row r="7" spans="1:6" s="1" customFormat="1" x14ac:dyDescent="0.25">
      <c r="A7" s="11"/>
      <c r="D7" s="1">
        <f>SUM(D2:D6)</f>
        <v>4300</v>
      </c>
      <c r="E7" s="1">
        <f>SUM(E2:E6)</f>
        <v>7560000</v>
      </c>
    </row>
    <row r="8" spans="1:6" x14ac:dyDescent="0.25">
      <c r="E8" s="13">
        <f>SQRT(E7)</f>
        <v>2749.545416973504</v>
      </c>
      <c r="F8" s="12" t="s">
        <v>9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13EB345AFA924BB8B7EF5707BE1E95" ma:contentTypeVersion="12" ma:contentTypeDescription="Create a new document." ma:contentTypeScope="" ma:versionID="e99e479fb03b9407523be4764e4fbec2">
  <xsd:schema xmlns:xsd="http://www.w3.org/2001/XMLSchema" xmlns:xs="http://www.w3.org/2001/XMLSchema" xmlns:p="http://schemas.microsoft.com/office/2006/metadata/properties" xmlns:ns2="cba0953c-5c70-4054-8c5d-8a26148baa14" xmlns:ns3="95444f29-1981-4ac2-8d0d-fb39ab5c3193" targetNamespace="http://schemas.microsoft.com/office/2006/metadata/properties" ma:root="true" ma:fieldsID="033949284623396c80ad8e8f6b6491c4" ns2:_="" ns3:_="">
    <xsd:import namespace="cba0953c-5c70-4054-8c5d-8a26148baa14"/>
    <xsd:import namespace="95444f29-1981-4ac2-8d0d-fb39ab5c31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0953c-5c70-4054-8c5d-8a26148baa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44f29-1981-4ac2-8d0d-fb39ab5c3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8BA04A-42BB-4FD3-B8ED-6C59D2A9C9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18ADC6-2A6E-40B8-AD40-9A5F43D96A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a0953c-5c70-4054-8c5d-8a26148baa14"/>
    <ds:schemaRef ds:uri="95444f29-1981-4ac2-8d0d-fb39ab5c31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1EC88E-A751-48BA-B6C7-5580C9EF62A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SalesJury</vt:lpstr>
      <vt:lpstr>SubjectiveProb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Prashan Karunaratne</dc:creator>
  <cp:lastModifiedBy>Bryan Johns</cp:lastModifiedBy>
  <dcterms:created xsi:type="dcterms:W3CDTF">2021-03-25T01:52:59Z</dcterms:created>
  <dcterms:modified xsi:type="dcterms:W3CDTF">2025-12-22T23:54:27Z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0x0101005A13EB345AFA924BB8B7EF5707BE1E95</vt:lpwstr>
  </property>
</Properties>
</file>