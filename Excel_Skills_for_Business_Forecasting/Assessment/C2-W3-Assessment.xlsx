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2\"/>
    </mc:Choice>
  </mc:AlternateContent>
  <xr:revisionPtr revIDLastSave="0" documentId="13_ncr:1_{6E07070C-0285-43C4-B961-3FED4D834020}" xr6:coauthVersionLast="47" xr6:coauthVersionMax="47" xr10:uidLastSave="{00000000-0000-0000-0000-000000000000}"/>
  <bookViews>
    <workbookView xWindow="-285" yWindow="3435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</calcChain>
</file>

<file path=xl/sharedStrings.xml><?xml version="1.0" encoding="utf-8"?>
<sst xmlns="http://schemas.openxmlformats.org/spreadsheetml/2006/main" count="55" uniqueCount="49">
  <si>
    <t>Price ($)</t>
  </si>
  <si>
    <t>Advertising ($ '000s)</t>
  </si>
  <si>
    <t>Burger Sales (units '000s)</t>
  </si>
  <si>
    <t>Store</t>
  </si>
  <si>
    <t>Penrith</t>
  </si>
  <si>
    <t>Claremont Meadows</t>
  </si>
  <si>
    <t>Glenwood</t>
  </si>
  <si>
    <t>Blacktown</t>
  </si>
  <si>
    <t>Castle Hill</t>
  </si>
  <si>
    <t>Baulkham Hills</t>
  </si>
  <si>
    <t>Bella Vista</t>
  </si>
  <si>
    <t>Macquarie Park</t>
  </si>
  <si>
    <t>North Ryde</t>
  </si>
  <si>
    <t>Killara</t>
  </si>
  <si>
    <t>West Pennant Hills</t>
  </si>
  <si>
    <t>Wynyard</t>
  </si>
  <si>
    <t>Forestville</t>
  </si>
  <si>
    <t>Frenchs Forest</t>
  </si>
  <si>
    <t>Dee Why</t>
  </si>
  <si>
    <t>Rhodes</t>
  </si>
  <si>
    <t>Competitor Store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</si>
  <si>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</si>
  <si>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</si>
  <si>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</si>
  <si>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</si>
  <si>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</si>
  <si>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</si>
  <si>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</si>
  <si>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</si>
  <si>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</si>
  <si>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</si>
  <si>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</si>
  <si>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</si>
  <si>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</si>
  <si>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</si>
  <si>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</si>
  <si>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</si>
  <si>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</si>
  <si>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</si>
  <si>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</si>
  <si>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</si>
  <si>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</si>
  <si>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</si>
  <si>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</si>
  <si>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</si>
  <si>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</si>
  <si>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</si>
  <si>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Burger Sales (units '000s)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</si>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</sst>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110" zoomScaleNormal="110" workbookViewId="0">
      <selection activeCell="E22" sqref="E22"/>
    </sheetView>
  </sheetViews>
  <sheetFormatPr defaultColWidth="9.140625" defaultRowHeight="15" x14ac:dyDescent="0.25"/>
  <cols>
    <col min="1" max="1" width="19.5703125" bestFit="1" customWidth="1"/>
    <col min="2" max="2" width="17.7109375" customWidth="1"/>
    <col min="3" max="4" width="19.28515625" customWidth="1"/>
    <col min="5" max="5" width="23.42578125" bestFit="1" customWidth="1"/>
    <col min="6" max="6" width="17.85546875" customWidth="1"/>
    <col min="7" max="7" width="10.42578125" bestFit="1" customWidth="1"/>
  </cols>
  <sheetData>
    <row r="1" spans="1:7" x14ac:dyDescent="0.25">
      <c r="A1" s="1" t="s">
        <v>3</v>
      </c>
      <c r="B1" s="1" t="s">
        <v>20</v>
      </c>
      <c r="C1" s="1" t="s">
        <v>0</v>
      </c>
      <c r="D1" s="1" t="s">
        <v>1</v>
      </c>
      <c r="E1" s="1" t="s">
        <v>2</v>
      </c>
      <c r="F1" s="6" t="s">
        <v>47</v>
      </c>
      <c r="G1" s="6" t="s">
        <v>48</v>
      </c>
    </row>
    <row r="2" spans="1:7" x14ac:dyDescent="0.25">
      <c r="A2" t="s">
        <v>9</v>
      </c>
      <c r="B2">
        <v>1</v>
      </c>
      <c r="C2" s="2">
        <v>13.48</v>
      </c>
      <c r="D2" s="2">
        <v>3.65</v>
      </c>
      <c r="E2" s="3">
        <v>310</v>
      </c>
      <c r="F2" s="8">
        <v>315.69883356469751</v>
      </c>
      <c r="G2" s="8">
        <v>-5.6988335646975088</v>
      </c>
    </row>
    <row r="3" spans="1:7" x14ac:dyDescent="0.25">
      <c r="A3" t="s">
        <v>10</v>
      </c>
      <c r="B3">
        <v>1</v>
      </c>
      <c r="C3" s="2">
        <v>15.1</v>
      </c>
      <c r="D3" s="2">
        <v>4.0500000000000007</v>
      </c>
      <c r="E3" s="3">
        <v>240</v>
      </c>
      <c r="F3" s="8">
        <v>256.14587791746214</v>
      </c>
      <c r="G3" s="8">
        <v>-16.145877917462144</v>
      </c>
    </row>
    <row r="4" spans="1:7" x14ac:dyDescent="0.25">
      <c r="A4" t="s">
        <v>7</v>
      </c>
      <c r="B4">
        <v>1</v>
      </c>
      <c r="C4" s="2">
        <v>13.01</v>
      </c>
      <c r="D4" s="2">
        <v>5.0299999999999994</v>
      </c>
      <c r="E4" s="3">
        <v>350</v>
      </c>
      <c r="F4" s="8">
        <v>330.66808239949739</v>
      </c>
      <c r="G4" s="8">
        <v>19.331917600502607</v>
      </c>
    </row>
    <row r="5" spans="1:7" x14ac:dyDescent="0.25">
      <c r="A5" t="s">
        <v>8</v>
      </c>
      <c r="B5">
        <v>1</v>
      </c>
      <c r="C5" s="2">
        <v>7.36</v>
      </c>
      <c r="D5" s="2">
        <v>5.2</v>
      </c>
      <c r="E5" s="3">
        <v>520</v>
      </c>
      <c r="F5" s="8">
        <v>535.95325632301274</v>
      </c>
      <c r="G5" s="8">
        <v>-15.953256323012738</v>
      </c>
    </row>
    <row r="6" spans="1:7" x14ac:dyDescent="0.25">
      <c r="A6" t="s">
        <v>5</v>
      </c>
      <c r="B6">
        <v>1</v>
      </c>
      <c r="C6" s="2">
        <v>10.199999999999999</v>
      </c>
      <c r="D6" s="2">
        <v>5.92</v>
      </c>
      <c r="E6" s="3">
        <v>430</v>
      </c>
      <c r="F6" s="8">
        <v>431.5228227534916</v>
      </c>
      <c r="G6" s="8">
        <v>-1.5228227534915959</v>
      </c>
    </row>
    <row r="7" spans="1:7" x14ac:dyDescent="0.25">
      <c r="A7" t="s">
        <v>18</v>
      </c>
      <c r="B7">
        <v>1</v>
      </c>
      <c r="C7" s="2">
        <v>9.08</v>
      </c>
      <c r="D7" s="2">
        <v>7.16</v>
      </c>
      <c r="E7" s="3">
        <v>500</v>
      </c>
      <c r="F7" s="8">
        <v>470.35515326780683</v>
      </c>
      <c r="G7" s="8">
        <v>29.644846732193173</v>
      </c>
    </row>
    <row r="8" spans="1:7" x14ac:dyDescent="0.25">
      <c r="A8" t="s">
        <v>16</v>
      </c>
      <c r="B8">
        <v>1</v>
      </c>
      <c r="C8" s="2">
        <v>11.75</v>
      </c>
      <c r="D8" s="2">
        <v>11.05</v>
      </c>
      <c r="E8" s="3">
        <v>360</v>
      </c>
      <c r="F8" s="8">
        <v>367.21790510966645</v>
      </c>
      <c r="G8" s="8">
        <v>-7.2179051096664466</v>
      </c>
    </row>
    <row r="9" spans="1:7" x14ac:dyDescent="0.25">
      <c r="A9" t="s">
        <v>17</v>
      </c>
      <c r="B9">
        <v>1</v>
      </c>
      <c r="C9" s="2">
        <v>13.15</v>
      </c>
      <c r="D9" s="2">
        <v>11.21</v>
      </c>
      <c r="E9" s="3">
        <v>350</v>
      </c>
      <c r="F9" s="8">
        <v>316.03889759001021</v>
      </c>
      <c r="G9" s="8">
        <v>33.961102409989792</v>
      </c>
    </row>
    <row r="10" spans="1:7" x14ac:dyDescent="0.25">
      <c r="A10" t="s">
        <v>6</v>
      </c>
      <c r="B10">
        <v>0</v>
      </c>
      <c r="C10" s="2">
        <v>7.27</v>
      </c>
      <c r="D10" s="2">
        <v>9.82</v>
      </c>
      <c r="E10" s="3">
        <v>820</v>
      </c>
      <c r="F10" s="8">
        <v>726.31069195785267</v>
      </c>
      <c r="G10" s="8">
        <v>93.689308042147331</v>
      </c>
    </row>
    <row r="11" spans="1:7" x14ac:dyDescent="0.25">
      <c r="A11" t="s">
        <v>13</v>
      </c>
      <c r="B11">
        <v>1</v>
      </c>
      <c r="C11" s="2">
        <v>14.719999999999999</v>
      </c>
      <c r="D11" s="2">
        <v>10.3</v>
      </c>
      <c r="E11" s="3">
        <v>250</v>
      </c>
      <c r="F11" s="8">
        <v>260.32632559979163</v>
      </c>
      <c r="G11" s="8">
        <v>-10.32632559979163</v>
      </c>
    </row>
    <row r="12" spans="1:7" x14ac:dyDescent="0.25">
      <c r="A12" t="s">
        <v>11</v>
      </c>
      <c r="B12">
        <v>0</v>
      </c>
      <c r="C12" s="2">
        <v>7.32</v>
      </c>
      <c r="D12" s="2">
        <v>10.34</v>
      </c>
      <c r="E12" s="3">
        <v>630</v>
      </c>
      <c r="F12" s="8">
        <v>723.68930804214699</v>
      </c>
      <c r="G12" s="8">
        <v>-93.68930804214699</v>
      </c>
    </row>
    <row r="13" spans="1:7" x14ac:dyDescent="0.25">
      <c r="A13" t="s">
        <v>12</v>
      </c>
      <c r="B13">
        <v>1</v>
      </c>
      <c r="C13" s="2">
        <v>10.620000000000001</v>
      </c>
      <c r="D13" s="2">
        <v>11.01</v>
      </c>
      <c r="E13" s="3">
        <v>400</v>
      </c>
      <c r="F13" s="8">
        <v>408.38912468026444</v>
      </c>
      <c r="G13" s="8">
        <v>-8.3891246802644446</v>
      </c>
    </row>
    <row r="14" spans="1:7" x14ac:dyDescent="0.25">
      <c r="A14" t="s">
        <v>4</v>
      </c>
      <c r="B14">
        <v>1</v>
      </c>
      <c r="C14" s="2">
        <v>15.35</v>
      </c>
      <c r="D14" s="2">
        <v>7.23</v>
      </c>
      <c r="E14" s="3">
        <v>230</v>
      </c>
      <c r="F14" s="8">
        <v>242.14399650354085</v>
      </c>
      <c r="G14" s="8">
        <v>-12.143996503540848</v>
      </c>
    </row>
    <row r="15" spans="1:7" x14ac:dyDescent="0.25">
      <c r="A15" t="s">
        <v>19</v>
      </c>
      <c r="B15">
        <v>1</v>
      </c>
      <c r="C15" s="2">
        <v>12.76</v>
      </c>
      <c r="D15" s="2">
        <v>9.7899999999999991</v>
      </c>
      <c r="E15" s="3">
        <v>350</v>
      </c>
      <c r="F15" s="8">
        <v>332.41824489441785</v>
      </c>
      <c r="G15" s="8">
        <v>17.581755105582147</v>
      </c>
    </row>
    <row r="16" spans="1:7" x14ac:dyDescent="0.25">
      <c r="A16" t="s">
        <v>14</v>
      </c>
      <c r="B16">
        <v>1</v>
      </c>
      <c r="C16" s="2">
        <v>9.15</v>
      </c>
      <c r="D16" s="2">
        <v>11.61</v>
      </c>
      <c r="E16" s="3">
        <v>440</v>
      </c>
      <c r="F16" s="8">
        <v>460.94202966283137</v>
      </c>
      <c r="G16" s="8">
        <v>-20.942029662831374</v>
      </c>
    </row>
    <row r="17" spans="1:7" ht="15.75" thickBot="1" x14ac:dyDescent="0.3">
      <c r="A17" t="s">
        <v>15</v>
      </c>
      <c r="B17">
        <v>1</v>
      </c>
      <c r="C17" s="2">
        <v>13.5</v>
      </c>
      <c r="D17" s="2">
        <v>11.94</v>
      </c>
      <c r="E17" s="3">
        <v>300</v>
      </c>
      <c r="F17" s="9">
        <v>302.17944973350797</v>
      </c>
      <c r="G17" s="9">
        <v>-2.1794497335079654</v>
      </c>
    </row>
    <row r="19" spans="1:7" x14ac:dyDescent="0.25">
      <c r="E19">
        <f>$C$36+$C$37+$C$38*AVERAGE($C$2:$C$17)+$C$39*AVERAGE($D$2:$D$17)</f>
        <v>380.72349228067799</v>
      </c>
    </row>
    <row r="20" spans="1:7" x14ac:dyDescent="0.25">
      <c r="B20" t="s">
        <v>21</v>
      </c>
      <c r="E20">
        <f>$C$36+$C$37*0+$C$38*AVERAGE($C$2:$C$17)+$C$39*AVERAGE($D$2:$D$17)</f>
        <v>574.93555403525374</v>
      </c>
    </row>
    <row r="21" spans="1:7" ht="15.75" thickBot="1" x14ac:dyDescent="0.3">
      <c r="E21">
        <f>$C$36+$C$37+$C$38*MAX($C$2:$C$17)+$C$39*MAX($D$2:$D$17)</f>
        <v>234.87628918509077</v>
      </c>
    </row>
    <row r="22" spans="1:7" x14ac:dyDescent="0.25">
      <c r="B22" s="7" t="s">
        <v>22</v>
      </c>
      <c r="C22" s="7"/>
    </row>
    <row r="23" spans="1:7" x14ac:dyDescent="0.25">
      <c r="B23" s="4" t="s">
        <v>23</v>
      </c>
      <c r="C23" s="4">
        <v>0.96947826356862221</v>
      </c>
    </row>
    <row r="24" spans="1:7" x14ac:dyDescent="0.25">
      <c r="B24" s="4" t="s">
        <v>24</v>
      </c>
      <c r="C24" s="4">
        <v>0.93988810353203089</v>
      </c>
    </row>
    <row r="25" spans="1:7" x14ac:dyDescent="0.25">
      <c r="B25" s="4" t="s">
        <v>25</v>
      </c>
      <c r="C25" s="4">
        <v>0.92486012941503859</v>
      </c>
    </row>
    <row r="26" spans="1:7" x14ac:dyDescent="0.25">
      <c r="B26" s="4" t="s">
        <v>26</v>
      </c>
      <c r="C26" s="4">
        <v>42.4659498191089</v>
      </c>
    </row>
    <row r="27" spans="1:7" ht="15.75" thickBot="1" x14ac:dyDescent="0.3">
      <c r="B27" s="5" t="s">
        <v>27</v>
      </c>
      <c r="C27" s="5">
        <v>16</v>
      </c>
    </row>
    <row r="29" spans="1:7" ht="15.75" thickBot="1" x14ac:dyDescent="0.3">
      <c r="B29" t="s">
        <v>28</v>
      </c>
    </row>
    <row r="30" spans="1:7" x14ac:dyDescent="0.25">
      <c r="B30" s="6"/>
      <c r="C30" s="6" t="s">
        <v>33</v>
      </c>
      <c r="D30" s="6" t="s">
        <v>34</v>
      </c>
      <c r="E30" s="6" t="s">
        <v>35</v>
      </c>
      <c r="F30" s="6" t="s">
        <v>36</v>
      </c>
      <c r="G30" s="6" t="s">
        <v>37</v>
      </c>
    </row>
    <row r="31" spans="1:7" x14ac:dyDescent="0.25">
      <c r="B31" s="4" t="s">
        <v>29</v>
      </c>
      <c r="C31" s="4">
        <v>3</v>
      </c>
      <c r="D31" s="4">
        <v>338359.71727153112</v>
      </c>
      <c r="E31" s="4">
        <v>112786.57242384371</v>
      </c>
      <c r="F31" s="4">
        <v>62.542568693227196</v>
      </c>
      <c r="G31" s="4">
        <v>1.3474966537556331E-7</v>
      </c>
    </row>
    <row r="32" spans="1:7" x14ac:dyDescent="0.25">
      <c r="B32" s="4" t="s">
        <v>30</v>
      </c>
      <c r="C32" s="4">
        <v>12</v>
      </c>
      <c r="D32" s="4">
        <v>21640.282728468905</v>
      </c>
      <c r="E32" s="4">
        <v>1803.3568940390753</v>
      </c>
      <c r="F32" s="4"/>
      <c r="G32" s="4"/>
    </row>
    <row r="33" spans="2:10" ht="15.75" thickBot="1" x14ac:dyDescent="0.3">
      <c r="B33" s="5" t="s">
        <v>31</v>
      </c>
      <c r="C33" s="5">
        <v>15</v>
      </c>
      <c r="D33" s="5">
        <v>360000</v>
      </c>
      <c r="E33" s="5"/>
      <c r="F33" s="5"/>
      <c r="G33" s="5"/>
    </row>
    <row r="34" spans="2:10" ht="15.75" thickBot="1" x14ac:dyDescent="0.3"/>
    <row r="35" spans="2:10" x14ac:dyDescent="0.25">
      <c r="B35" s="6"/>
      <c r="C35" s="6" t="s">
        <v>38</v>
      </c>
      <c r="D35" s="6" t="s">
        <v>26</v>
      </c>
      <c r="E35" s="6" t="s">
        <v>39</v>
      </c>
      <c r="F35" s="6" t="s">
        <v>40</v>
      </c>
      <c r="G35" s="6" t="s">
        <v>41</v>
      </c>
      <c r="H35" s="6" t="s">
        <v>42</v>
      </c>
      <c r="I35" s="6" t="s">
        <v>43</v>
      </c>
      <c r="J35" s="6" t="s">
        <v>44</v>
      </c>
    </row>
    <row r="36" spans="2:10" x14ac:dyDescent="0.25">
      <c r="B36" s="4" t="s">
        <v>32</v>
      </c>
      <c r="C36" s="4">
        <v>1005.9465525655328</v>
      </c>
      <c r="D36" s="4">
        <v>60.957729893392049</v>
      </c>
      <c r="E36" s="4">
        <v>16.502362445662197</v>
      </c>
      <c r="F36" s="4">
        <v>1.2986370989878402E-9</v>
      </c>
      <c r="G36" s="4">
        <v>873.13106860642063</v>
      </c>
      <c r="H36" s="4">
        <v>1138.7620365246448</v>
      </c>
      <c r="I36" s="4">
        <v>873.13106860642063</v>
      </c>
      <c r="J36" s="4">
        <v>1138.7620365246448</v>
      </c>
    </row>
    <row r="37" spans="2:10" x14ac:dyDescent="0.25">
      <c r="B37" s="4" t="s">
        <v>20</v>
      </c>
      <c r="C37" s="4">
        <v>-194.21206175457576</v>
      </c>
      <c r="D37" s="4">
        <v>39.95224092247863</v>
      </c>
      <c r="E37" s="4">
        <v>-4.8611055918343933</v>
      </c>
      <c r="F37" s="4">
        <v>3.9081866582510357E-4</v>
      </c>
      <c r="G37" s="4">
        <v>-281.26051685042825</v>
      </c>
      <c r="H37" s="4">
        <v>-107.16360665872325</v>
      </c>
      <c r="I37" s="4">
        <v>-281.26051685042825</v>
      </c>
      <c r="J37" s="4">
        <v>-107.16360665872325</v>
      </c>
    </row>
    <row r="38" spans="2:10" x14ac:dyDescent="0.25">
      <c r="B38" s="4" t="s">
        <v>0</v>
      </c>
      <c r="C38" s="4">
        <v>-36.380086782928224</v>
      </c>
      <c r="D38" s="4">
        <v>4.7844748751935162</v>
      </c>
      <c r="E38" s="4">
        <v>-7.6037784149627852</v>
      </c>
      <c r="F38" s="4">
        <v>6.2997343990404077E-6</v>
      </c>
      <c r="G38" s="4">
        <v>-46.804562024220367</v>
      </c>
      <c r="H38" s="4">
        <v>-25.955611541636081</v>
      </c>
      <c r="I38" s="4">
        <v>-46.804562024220367</v>
      </c>
      <c r="J38" s="4">
        <v>-25.955611541636081</v>
      </c>
    </row>
    <row r="39" spans="2:10" ht="15.75" thickBot="1" x14ac:dyDescent="0.3">
      <c r="B39" s="5" t="s">
        <v>1</v>
      </c>
      <c r="C39" s="5">
        <v>-1.5430376472293172</v>
      </c>
      <c r="D39" s="5">
        <v>3.8476260386483161</v>
      </c>
      <c r="E39" s="5">
        <v>-0.40103628360187299</v>
      </c>
      <c r="F39" s="5">
        <v>0.69544246616665961</v>
      </c>
      <c r="G39" s="5">
        <v>-9.926294623997963</v>
      </c>
      <c r="H39" s="5">
        <v>6.8402193295393285</v>
      </c>
      <c r="I39" s="5">
        <v>-9.926294623997963</v>
      </c>
      <c r="J39" s="5">
        <v>6.8402193295393285</v>
      </c>
    </row>
    <row r="43" spans="2:10" x14ac:dyDescent="0.25">
      <c r="B43" t="s">
        <v>45</v>
      </c>
    </row>
    <row r="44" spans="2:10" ht="15.75" thickBot="1" x14ac:dyDescent="0.3"/>
    <row r="45" spans="2:10" x14ac:dyDescent="0.25">
      <c r="B45" s="6" t="s">
        <v>46</v>
      </c>
      <c r="C45" s="6" t="s">
        <v>47</v>
      </c>
      <c r="D45" s="6" t="s">
        <v>48</v>
      </c>
    </row>
    <row r="46" spans="2:10" x14ac:dyDescent="0.25">
      <c r="B46" s="4">
        <v>1</v>
      </c>
      <c r="C46" s="4">
        <v>315.69883356469751</v>
      </c>
      <c r="D46" s="4">
        <v>-5.6988335646975088</v>
      </c>
    </row>
    <row r="47" spans="2:10" x14ac:dyDescent="0.25">
      <c r="B47" s="4">
        <v>2</v>
      </c>
      <c r="C47" s="4">
        <v>256.14587791746214</v>
      </c>
      <c r="D47" s="4">
        <v>-16.145877917462144</v>
      </c>
    </row>
    <row r="48" spans="2:10" x14ac:dyDescent="0.25">
      <c r="B48" s="4">
        <v>3</v>
      </c>
      <c r="C48" s="4">
        <v>330.66808239949739</v>
      </c>
      <c r="D48" s="4">
        <v>19.331917600502607</v>
      </c>
    </row>
    <row r="49" spans="2:4" x14ac:dyDescent="0.25">
      <c r="B49" s="4">
        <v>4</v>
      </c>
      <c r="C49" s="4">
        <v>535.95325632301274</v>
      </c>
      <c r="D49" s="4">
        <v>-15.953256323012738</v>
      </c>
    </row>
    <row r="50" spans="2:4" x14ac:dyDescent="0.25">
      <c r="B50" s="4">
        <v>5</v>
      </c>
      <c r="C50" s="4">
        <v>431.5228227534916</v>
      </c>
      <c r="D50" s="4">
        <v>-1.5228227534915959</v>
      </c>
    </row>
    <row r="51" spans="2:4" x14ac:dyDescent="0.25">
      <c r="B51" s="4">
        <v>6</v>
      </c>
      <c r="C51" s="4">
        <v>470.35515326780683</v>
      </c>
      <c r="D51" s="4">
        <v>29.644846732193173</v>
      </c>
    </row>
    <row r="52" spans="2:4" x14ac:dyDescent="0.25">
      <c r="B52" s="4">
        <v>7</v>
      </c>
      <c r="C52" s="4">
        <v>367.21790510966645</v>
      </c>
      <c r="D52" s="4">
        <v>-7.2179051096664466</v>
      </c>
    </row>
    <row r="53" spans="2:4" x14ac:dyDescent="0.25">
      <c r="B53" s="4">
        <v>8</v>
      </c>
      <c r="C53" s="4">
        <v>316.03889759001021</v>
      </c>
      <c r="D53" s="4">
        <v>33.961102409989792</v>
      </c>
    </row>
    <row r="54" spans="2:4" x14ac:dyDescent="0.25">
      <c r="B54" s="4">
        <v>9</v>
      </c>
      <c r="C54" s="4">
        <v>726.31069195785267</v>
      </c>
      <c r="D54" s="4">
        <v>93.689308042147331</v>
      </c>
    </row>
    <row r="55" spans="2:4" x14ac:dyDescent="0.25">
      <c r="B55" s="4">
        <v>10</v>
      </c>
      <c r="C55" s="4">
        <v>260.32632559979163</v>
      </c>
      <c r="D55" s="4">
        <v>-10.32632559979163</v>
      </c>
    </row>
    <row r="56" spans="2:4" x14ac:dyDescent="0.25">
      <c r="B56" s="4">
        <v>11</v>
      </c>
      <c r="C56" s="4">
        <v>723.68930804214699</v>
      </c>
      <c r="D56" s="4">
        <v>-93.68930804214699</v>
      </c>
    </row>
    <row r="57" spans="2:4" x14ac:dyDescent="0.25">
      <c r="B57" s="4">
        <v>12</v>
      </c>
      <c r="C57" s="4">
        <v>408.38912468026444</v>
      </c>
      <c r="D57" s="4">
        <v>-8.3891246802644446</v>
      </c>
    </row>
    <row r="58" spans="2:4" x14ac:dyDescent="0.25">
      <c r="B58" s="4">
        <v>13</v>
      </c>
      <c r="C58" s="4">
        <v>242.14399650354085</v>
      </c>
      <c r="D58" s="4">
        <v>-12.143996503540848</v>
      </c>
    </row>
    <row r="59" spans="2:4" x14ac:dyDescent="0.25">
      <c r="B59" s="4">
        <v>14</v>
      </c>
      <c r="C59" s="4">
        <v>332.41824489441785</v>
      </c>
      <c r="D59" s="4">
        <v>17.581755105582147</v>
      </c>
    </row>
    <row r="60" spans="2:4" x14ac:dyDescent="0.25">
      <c r="B60" s="4">
        <v>15</v>
      </c>
      <c r="C60" s="4">
        <v>460.94202966283137</v>
      </c>
      <c r="D60" s="4">
        <v>-20.942029662831374</v>
      </c>
    </row>
    <row r="61" spans="2:4" ht="15.75" thickBot="1" x14ac:dyDescent="0.3">
      <c r="B61" s="5">
        <v>16</v>
      </c>
      <c r="C61" s="5">
        <v>302.17944973350797</v>
      </c>
      <c r="D61" s="5">
        <v>-2.1794497335079654</v>
      </c>
    </row>
  </sheetData>
  <sortState xmlns:xlrd2="http://schemas.microsoft.com/office/spreadsheetml/2017/richdata2" ref="D2:D17">
    <sortCondition ref="D2:D1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B6BF0F-5DD3-4753-A6E7-E613B0366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C347AA-5BD6-4013-A0BC-0F00008B33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632B90-4AD5-424F-979B-D579F404A7A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Karunaratne</dc:creator>
  <cp:lastModifiedBy>Bryan Johns</cp:lastModifiedBy>
  <dcterms:created xsi:type="dcterms:W3CDTF">2017-04-04T06:24:47Z</dcterms:created>
  <dcterms:modified xsi:type="dcterms:W3CDTF">2025-12-22T20:30:32Z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