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1\"/>
    </mc:Choice>
  </mc:AlternateContent>
  <xr:revisionPtr revIDLastSave="0" documentId="13_ncr:1_{11563162-6D03-4D04-9A1C-5FA538A6B82D}" xr6:coauthVersionLast="47" xr6:coauthVersionMax="47" xr10:uidLastSave="{00000000-0000-0000-0000-000000000000}"/>
  <bookViews>
    <workbookView xWindow="690" yWindow="3180" windowWidth="21600" windowHeight="11835" activeTab="2" xr2:uid="{00000000-000D-0000-FFFF-FFFF00000000}"/>
  </bookViews>
  <sheets>
    <sheet name="DeSeas Turnover" sheetId="17" r:id="rId1"/>
    <sheet name="Raw Turnover" sheetId="12" r:id="rId2"/>
    <sheet name="Sales" sheetId="16" r:id="rId3"/>
  </sheets>
  <definedNames>
    <definedName name="A3348582J" localSheetId="0">'DeSeas Turnover'!#REF!,'DeSeas Turnover'!$J$2:$J$460</definedName>
    <definedName name="A3348582J">#REF!,#REF!</definedName>
    <definedName name="A3348582J_Data" localSheetId="0">'DeSeas Turnover'!$J$2:$J$460</definedName>
    <definedName name="A3348582J_Data">#REF!</definedName>
    <definedName name="A3348582J_Latest" localSheetId="0">'DeSeas Turnover'!$J$460</definedName>
    <definedName name="A3348582J_Latest">#REF!</definedName>
    <definedName name="A3348585R" localSheetId="0">'DeSeas Turnover'!#REF!,'DeSeas Turnover'!#REF!</definedName>
    <definedName name="A3348585R">#REF!,#REF!</definedName>
    <definedName name="A3348585R_Data" localSheetId="0">'DeSeas Turnover'!#REF!</definedName>
    <definedName name="A3348585R_Data">#REF!</definedName>
    <definedName name="A3348585R_Latest" localSheetId="0">'DeSeas Turnover'!#REF!</definedName>
    <definedName name="A3348585R_Latest">#REF!</definedName>
    <definedName name="A3348588W" localSheetId="0">'DeSeas Turnover'!$S$1:$S$1,'DeSeas Turnover'!$S$2:$S$460</definedName>
    <definedName name="A3348588W">#REF!,#REF!</definedName>
    <definedName name="A3348588W_Data" localSheetId="0">'DeSeas Turnover'!$S$2:$S$460</definedName>
    <definedName name="A3348588W_Data">#REF!</definedName>
    <definedName name="A3348588W_Latest" localSheetId="0">'DeSeas Turnover'!$S$460</definedName>
    <definedName name="A3348588W_Latest">#REF!</definedName>
    <definedName name="A3348591K" localSheetId="0">'DeSeas Turnover'!#REF!,'DeSeas Turnover'!#REF!</definedName>
    <definedName name="A3348591K">#REF!,#REF!</definedName>
    <definedName name="A3348591K_Data" localSheetId="0">'DeSeas Turnover'!#REF!</definedName>
    <definedName name="A3348591K_Data">#REF!</definedName>
    <definedName name="A3348591K_Latest" localSheetId="0">'DeSeas Turnover'!#REF!</definedName>
    <definedName name="A3348591K_Latest">#REF!</definedName>
    <definedName name="A3348594T" localSheetId="0">'DeSeas Turnover'!$B$1:$B$1,'DeSeas Turnover'!$B$2:$B$334</definedName>
    <definedName name="A3348594T">#REF!,#REF!</definedName>
    <definedName name="A3348594T_Data" localSheetId="0">'DeSeas Turnover'!$B$2:$B$334</definedName>
    <definedName name="A3348594T_Data">#REF!</definedName>
    <definedName name="A3348594T_Latest" localSheetId="0">'DeSeas Turnover'!$B$127</definedName>
    <definedName name="A3348594T_Latest">#REF!</definedName>
    <definedName name="A3348597X" localSheetId="0">'DeSeas Turnover'!$M$1:$M$1,'DeSeas Turnover'!$M$2:$M$460</definedName>
    <definedName name="A3348597X">#REF!,#REF!</definedName>
    <definedName name="A3348597X_Data" localSheetId="0">'DeSeas Turnover'!$M$2:$M$460</definedName>
    <definedName name="A3348597X_Data">#REF!</definedName>
    <definedName name="A3348597X_Latest" localSheetId="0">'DeSeas Turnover'!$M$460</definedName>
    <definedName name="A3348597X_Latest">#REF!</definedName>
    <definedName name="A3348600A" localSheetId="0">'DeSeas Turnover'!$C$1:$C$1,'DeSeas Turnover'!$C$2:$C$460</definedName>
    <definedName name="A3348600A">#REF!,#REF!</definedName>
    <definedName name="A3348600A_Data" localSheetId="0">'DeSeas Turnover'!$C$2:$C$460</definedName>
    <definedName name="A3348600A_Data">#REF!</definedName>
    <definedName name="A3348600A_Latest" localSheetId="0">'DeSeas Turnover'!$C$460</definedName>
    <definedName name="A3348600A_Latest">#REF!</definedName>
    <definedName name="A3348603J" localSheetId="0">'DeSeas Turnover'!#REF!,'DeSeas Turnover'!$K$2:$K$460</definedName>
    <definedName name="A3348603J">#REF!,#REF!</definedName>
    <definedName name="A3348603J_Data" localSheetId="0">'DeSeas Turnover'!$K$2:$K$460</definedName>
    <definedName name="A3348603J_Data">#REF!</definedName>
    <definedName name="A3348603J_Latest" localSheetId="0">'DeSeas Turnover'!$K$460</definedName>
    <definedName name="A3348603J_Latest">#REF!</definedName>
    <definedName name="A3348606R" localSheetId="0">'DeSeas Turnover'!$N$1:$N$1,'DeSeas Turnover'!$N$2:$N$460</definedName>
    <definedName name="A3348606R">#REF!,#REF!</definedName>
    <definedName name="A3348606R_Data" localSheetId="0">'DeSeas Turnover'!$N$2:$N$460</definedName>
    <definedName name="A3348606R_Data">#REF!</definedName>
    <definedName name="A3348606R_Latest" localSheetId="0">'DeSeas Turnover'!$N$460</definedName>
    <definedName name="A3348606R_Latest">#REF!</definedName>
    <definedName name="A3348609W" localSheetId="0">'DeSeas Turnover'!$D$1:$D$1,'DeSeas Turnover'!$D$2:$D$460</definedName>
    <definedName name="A3348609W">#REF!,#REF!</definedName>
    <definedName name="A3348609W_Data" localSheetId="0">'DeSeas Turnover'!$D$2:$D$460</definedName>
    <definedName name="A3348609W_Data">#REF!</definedName>
    <definedName name="A3348609W_Latest" localSheetId="0">'DeSeas Turnover'!$D$460</definedName>
    <definedName name="A3348609W_Latest">#REF!</definedName>
    <definedName name="A3348612K" localSheetId="0">'DeSeas Turnover'!$L$1:$L$1,'DeSeas Turnover'!$L$2:$L$460</definedName>
    <definedName name="A3348612K">#REF!,#REF!</definedName>
    <definedName name="A3348612K_Data" localSheetId="0">'DeSeas Turnover'!$L$2:$L$460</definedName>
    <definedName name="A3348612K_Data">#REF!</definedName>
    <definedName name="A3348612K_Latest" localSheetId="0">'DeSeas Turnover'!$L$460</definedName>
    <definedName name="A3348612K_Latest">#REF!</definedName>
    <definedName name="A3348615T" localSheetId="0">'DeSeas Turnover'!$O$1:$O$1,'DeSeas Turnover'!$O$2:$O$460</definedName>
    <definedName name="A3348615T">#REF!,#REF!</definedName>
    <definedName name="A3348615T_Data" localSheetId="0">'DeSeas Turnover'!$O$2:$O$460</definedName>
    <definedName name="A3348615T_Data">#REF!</definedName>
    <definedName name="A3348615T_Latest" localSheetId="0">'DeSeas Turnover'!$O$460</definedName>
    <definedName name="A3348615T_Latest">#REF!</definedName>
    <definedName name="A3348618X" localSheetId="0">'DeSeas Turnover'!$G$1:$G$1,'DeSeas Turnover'!$G$2:$G$460</definedName>
    <definedName name="A3348618X">#REF!,#REF!</definedName>
    <definedName name="A3348618X_Data" localSheetId="0">'DeSeas Turnover'!$G$2:$G$460</definedName>
    <definedName name="A3348618X_Data">#REF!</definedName>
    <definedName name="A3348618X_Latest" localSheetId="0">'DeSeas Turnover'!$G$460</definedName>
    <definedName name="A3348618X_Latest">#REF!</definedName>
    <definedName name="A3348621L" localSheetId="0">'DeSeas Turnover'!#REF!,'DeSeas Turnover'!#REF!</definedName>
    <definedName name="A3348621L">#REF!,#REF!</definedName>
    <definedName name="A3348621L_Data" localSheetId="0">'DeSeas Turnover'!#REF!</definedName>
    <definedName name="A3348621L_Data">#REF!</definedName>
    <definedName name="A3348621L_Latest" localSheetId="0">'DeSeas Turnover'!#REF!</definedName>
    <definedName name="A3348621L_Latest">#REF!</definedName>
    <definedName name="A3348624V" localSheetId="0">'DeSeas Turnover'!$P$1:$P$1,'DeSeas Turnover'!$P$2:$P$460</definedName>
    <definedName name="A3348624V">#REF!,#REF!</definedName>
    <definedName name="A3348624V_Data" localSheetId="0">'DeSeas Turnover'!$P$2:$P$460</definedName>
    <definedName name="A3348624V_Data">#REF!</definedName>
    <definedName name="A3348624V_Latest" localSheetId="0">'DeSeas Turnover'!$P$460</definedName>
    <definedName name="A3348624V_Latest">#REF!</definedName>
    <definedName name="A3348627A" localSheetId="0">'DeSeas Turnover'!$H$1:$H$1,'DeSeas Turnover'!$H$2:$H$460</definedName>
    <definedName name="A3348627A">#REF!,#REF!</definedName>
    <definedName name="A3348627A_Data" localSheetId="0">'DeSeas Turnover'!$H$2:$H$460</definedName>
    <definedName name="A3348627A_Data">#REF!</definedName>
    <definedName name="A3348627A_Latest" localSheetId="0">'DeSeas Turnover'!$H$460</definedName>
    <definedName name="A3348627A_Latest">#REF!</definedName>
    <definedName name="A3348630R" localSheetId="0">'DeSeas Turnover'!#REF!,'DeSeas Turnover'!#REF!</definedName>
    <definedName name="A3348630R">#REF!,#REF!</definedName>
    <definedName name="A3348630R_Data" localSheetId="0">'DeSeas Turnover'!#REF!</definedName>
    <definedName name="A3348630R_Data">#REF!</definedName>
    <definedName name="A3348630R_Latest" localSheetId="0">'DeSeas Turnover'!#REF!</definedName>
    <definedName name="A3348630R_Latest">#REF!</definedName>
    <definedName name="A3348633W" localSheetId="0">'DeSeas Turnover'!$Q$1:$Q$1,'DeSeas Turnover'!$Q$2:$Q$460</definedName>
    <definedName name="A3348633W">#REF!,#REF!</definedName>
    <definedName name="A3348633W_Data" localSheetId="0">'DeSeas Turnover'!$Q$2:$Q$460</definedName>
    <definedName name="A3348633W_Data">#REF!</definedName>
    <definedName name="A3348633W_Latest" localSheetId="0">'DeSeas Turnover'!$Q$460</definedName>
    <definedName name="A3348633W_Latest">#REF!</definedName>
    <definedName name="A3348636C" localSheetId="0">'DeSeas Turnover'!$I$1:$I$1,'DeSeas Turnover'!$I$2:$I$460</definedName>
    <definedName name="A3348636C">#REF!,#REF!</definedName>
    <definedName name="A3348636C_Data" localSheetId="0">'DeSeas Turnover'!$I$2:$I$460</definedName>
    <definedName name="A3348636C_Data">#REF!</definedName>
    <definedName name="A3348636C_Latest" localSheetId="0">'DeSeas Turnover'!$I$460</definedName>
    <definedName name="A3348636C_Latest">#REF!</definedName>
    <definedName name="A3348639K" localSheetId="0">'DeSeas Turnover'!#REF!,'DeSeas Turnover'!#REF!</definedName>
    <definedName name="A3348639K">#REF!,#REF!</definedName>
    <definedName name="A3348639K_Data" localSheetId="0">'DeSeas Turnover'!#REF!</definedName>
    <definedName name="A3348639K_Data">#REF!</definedName>
    <definedName name="A3348639K_Latest" localSheetId="0">'DeSeas Turnover'!#REF!</definedName>
    <definedName name="A3348639K_Latest">#REF!</definedName>
    <definedName name="A3348642X" localSheetId="0">'DeSeas Turnover'!$R$1:$R$1,'DeSeas Turnover'!$R$2:$R$460</definedName>
    <definedName name="A3348642X">#REF!,#REF!</definedName>
    <definedName name="A3348642X_Data" localSheetId="0">'DeSeas Turnover'!$R$2:$R$460</definedName>
    <definedName name="A3348642X_Data">#REF!</definedName>
    <definedName name="A3348642X_Latest" localSheetId="0">'DeSeas Turnover'!$R$460</definedName>
    <definedName name="A3348642X_Latest">#REF!</definedName>
    <definedName name="Date_Range" localSheetId="0">'DeSeas Turnover'!#REF!,'DeSeas Turnover'!$A$2:$A$310</definedName>
    <definedName name="Date_Range">#REF!,#REF!</definedName>
    <definedName name="Date_Range_Data" localSheetId="0">'DeSeas Turnover'!$A$2:$A$310</definedName>
    <definedName name="Date_Range_Data">#REF!</definedName>
    <definedName name="solver_adj" localSheetId="0" hidden="1">'DeSeas Turnover'!$L$2:$L$3</definedName>
    <definedName name="solver_adj" localSheetId="1" hidden="1">'Raw Turnover'!$K$2:$K$4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1" hidden="1">'Raw Turnover'!$K$2</definedName>
    <definedName name="solver_lhs2" localSheetId="1" hidden="1">'Raw Turnover'!$K$2</definedName>
    <definedName name="solver_lhs3" localSheetId="1" hidden="1">'Raw Turnover'!$K$3</definedName>
    <definedName name="solver_lhs4" localSheetId="1" hidden="1">'Raw Turnover'!$K$3</definedName>
    <definedName name="solver_lhs5" localSheetId="1" hidden="1">'Raw Turnover'!$K$4</definedName>
    <definedName name="solver_lhs6" localSheetId="1" hidden="1">'Raw Turnover'!$K$4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6</definedName>
    <definedName name="solver_nwt" localSheetId="0" hidden="1">1</definedName>
    <definedName name="solver_nwt" localSheetId="1" hidden="1">1</definedName>
    <definedName name="solver_opt" localSheetId="0" hidden="1">'DeSeas Turnover'!$J$125</definedName>
    <definedName name="solver_opt" localSheetId="1" hidden="1">'Raw Turnover'!$N$122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1</definedName>
    <definedName name="solver_rhs2" localSheetId="1" hidden="1">0</definedName>
    <definedName name="solver_rhs3" localSheetId="1" hidden="1">1</definedName>
    <definedName name="solver_rhs4" localSheetId="1" hidden="1">0</definedName>
    <definedName name="solver_rhs5" localSheetId="1" hidden="1">1</definedName>
    <definedName name="solver_rhs6" localSheetId="1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" i="16" l="1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H40" i="16"/>
  <c r="F40" i="16"/>
  <c r="N14" i="12"/>
  <c r="M14" i="12"/>
  <c r="L14" i="12"/>
  <c r="G14" i="12"/>
  <c r="D14" i="12"/>
  <c r="F3" i="12"/>
  <c r="F4" i="12"/>
  <c r="F5" i="12"/>
  <c r="F6" i="12"/>
  <c r="F7" i="12"/>
  <c r="F8" i="12"/>
  <c r="F9" i="12"/>
  <c r="F10" i="12"/>
  <c r="F11" i="12"/>
  <c r="F12" i="12"/>
  <c r="F13" i="12"/>
  <c r="F2" i="12"/>
  <c r="E13" i="12"/>
  <c r="D13" i="12"/>
  <c r="R124" i="17"/>
  <c r="Q124" i="17"/>
  <c r="P122" i="17"/>
  <c r="P5" i="17"/>
  <c r="P6" i="17"/>
  <c r="P7" i="17"/>
  <c r="Q7" i="17"/>
  <c r="R7" i="17"/>
  <c r="P8" i="17"/>
  <c r="P9" i="17"/>
  <c r="P10" i="17"/>
  <c r="P11" i="17"/>
  <c r="Q11" i="17"/>
  <c r="R11" i="17"/>
  <c r="P12" i="17"/>
  <c r="Q12" i="17"/>
  <c r="R12" i="17"/>
  <c r="P13" i="17"/>
  <c r="P14" i="17"/>
  <c r="Q14" i="17" s="1"/>
  <c r="R14" i="17"/>
  <c r="P15" i="17"/>
  <c r="Q15" i="17" s="1"/>
  <c r="R15" i="17"/>
  <c r="P16" i="17"/>
  <c r="P17" i="17"/>
  <c r="Q17" i="17"/>
  <c r="R17" i="17"/>
  <c r="P18" i="17"/>
  <c r="Q18" i="17"/>
  <c r="R18" i="17"/>
  <c r="P19" i="17"/>
  <c r="Q19" i="17"/>
  <c r="R19" i="17"/>
  <c r="P20" i="17"/>
  <c r="Q20" i="17" s="1"/>
  <c r="R20" i="17"/>
  <c r="P21" i="17"/>
  <c r="P22" i="17"/>
  <c r="Q22" i="17"/>
  <c r="R22" i="17"/>
  <c r="P23" i="17"/>
  <c r="P24" i="17"/>
  <c r="P25" i="17"/>
  <c r="Q25" i="17"/>
  <c r="R25" i="17"/>
  <c r="P26" i="17"/>
  <c r="P27" i="17"/>
  <c r="Q27" i="17"/>
  <c r="R27" i="17"/>
  <c r="P28" i="17"/>
  <c r="Q28" i="17" s="1"/>
  <c r="R28" i="17"/>
  <c r="P29" i="17"/>
  <c r="P30" i="17"/>
  <c r="P31" i="17"/>
  <c r="R31" i="17" s="1"/>
  <c r="Q31" i="17"/>
  <c r="P32" i="17"/>
  <c r="Q32" i="17" s="1"/>
  <c r="R32" i="17"/>
  <c r="P33" i="17"/>
  <c r="P34" i="17"/>
  <c r="R34" i="17" s="1"/>
  <c r="Q34" i="17"/>
  <c r="P35" i="17"/>
  <c r="P36" i="17"/>
  <c r="Q36" i="17" s="1"/>
  <c r="R36" i="17"/>
  <c r="P37" i="17"/>
  <c r="Q37" i="17"/>
  <c r="R37" i="17"/>
  <c r="P38" i="17"/>
  <c r="R38" i="17" s="1"/>
  <c r="Q38" i="17"/>
  <c r="P39" i="17"/>
  <c r="P40" i="17"/>
  <c r="P41" i="17"/>
  <c r="P42" i="17"/>
  <c r="Q42" i="17"/>
  <c r="R42" i="17"/>
  <c r="P43" i="17"/>
  <c r="Q43" i="17" s="1"/>
  <c r="R43" i="17"/>
  <c r="P44" i="17"/>
  <c r="Q44" i="17"/>
  <c r="R44" i="17"/>
  <c r="P45" i="17"/>
  <c r="P46" i="17"/>
  <c r="P47" i="17"/>
  <c r="Q47" i="17"/>
  <c r="R47" i="17"/>
  <c r="P48" i="17"/>
  <c r="P49" i="17"/>
  <c r="Q49" i="17"/>
  <c r="R49" i="17"/>
  <c r="P50" i="17"/>
  <c r="P51" i="17"/>
  <c r="Q51" i="17"/>
  <c r="R51" i="17"/>
  <c r="P52" i="17"/>
  <c r="P53" i="17"/>
  <c r="P54" i="17"/>
  <c r="Q54" i="17"/>
  <c r="R54" i="17"/>
  <c r="P55" i="17"/>
  <c r="Q55" i="17" s="1"/>
  <c r="R55" i="17"/>
  <c r="P56" i="17"/>
  <c r="P57" i="17"/>
  <c r="Q57" i="17" s="1"/>
  <c r="R57" i="17"/>
  <c r="P58" i="17"/>
  <c r="P59" i="17"/>
  <c r="P60" i="17"/>
  <c r="P61" i="17"/>
  <c r="P62" i="17"/>
  <c r="P63" i="17"/>
  <c r="Q63" i="17" s="1"/>
  <c r="R63" i="17"/>
  <c r="P64" i="17"/>
  <c r="Q64" i="17"/>
  <c r="R64" i="17"/>
  <c r="P65" i="17"/>
  <c r="P66" i="17"/>
  <c r="Q66" i="17"/>
  <c r="R66" i="17"/>
  <c r="P67" i="17"/>
  <c r="Q67" i="17" s="1"/>
  <c r="R67" i="17"/>
  <c r="P68" i="17"/>
  <c r="P69" i="17"/>
  <c r="Q69" i="17" s="1"/>
  <c r="R69" i="17"/>
  <c r="P70" i="17"/>
  <c r="P71" i="17"/>
  <c r="P72" i="17"/>
  <c r="P73" i="17"/>
  <c r="P74" i="17"/>
  <c r="P75" i="17"/>
  <c r="P76" i="17"/>
  <c r="P77" i="17"/>
  <c r="Q77" i="17"/>
  <c r="R77" i="17"/>
  <c r="P78" i="17"/>
  <c r="Q78" i="17"/>
  <c r="R78" i="17"/>
  <c r="P79" i="17"/>
  <c r="Q79" i="17"/>
  <c r="R79" i="17"/>
  <c r="P80" i="17"/>
  <c r="Q80" i="17"/>
  <c r="R80" i="17"/>
  <c r="P81" i="17"/>
  <c r="Q81" i="17"/>
  <c r="R81" i="17"/>
  <c r="P82" i="17"/>
  <c r="Q82" i="17"/>
  <c r="R82" i="17"/>
  <c r="P83" i="17"/>
  <c r="Q83" i="17"/>
  <c r="R83" i="17"/>
  <c r="P84" i="17"/>
  <c r="Q84" i="17"/>
  <c r="R84" i="17"/>
  <c r="P85" i="17"/>
  <c r="Q85" i="17"/>
  <c r="R85" i="17"/>
  <c r="P86" i="17"/>
  <c r="Q86" i="17"/>
  <c r="R86" i="17"/>
  <c r="P87" i="17"/>
  <c r="Q87" i="17"/>
  <c r="R87" i="17"/>
  <c r="P88" i="17"/>
  <c r="Q88" i="17"/>
  <c r="R88" i="17"/>
  <c r="P89" i="17"/>
  <c r="Q89" i="17"/>
  <c r="R89" i="17"/>
  <c r="P90" i="17"/>
  <c r="Q90" i="17"/>
  <c r="R90" i="17"/>
  <c r="P91" i="17"/>
  <c r="Q91" i="17"/>
  <c r="R91" i="17"/>
  <c r="P92" i="17"/>
  <c r="Q92" i="17"/>
  <c r="R92" i="17"/>
  <c r="P93" i="17"/>
  <c r="P94" i="17"/>
  <c r="Q94" i="17"/>
  <c r="R94" i="17"/>
  <c r="P95" i="17"/>
  <c r="P96" i="17"/>
  <c r="Q96" i="17"/>
  <c r="R96" i="17"/>
  <c r="P97" i="17"/>
  <c r="Q97" i="17"/>
  <c r="R97" i="17"/>
  <c r="P98" i="17"/>
  <c r="P99" i="17"/>
  <c r="P100" i="17"/>
  <c r="P101" i="17"/>
  <c r="P102" i="17"/>
  <c r="P103" i="17"/>
  <c r="Q103" i="17"/>
  <c r="R103" i="17"/>
  <c r="P104" i="17"/>
  <c r="P105" i="17"/>
  <c r="P106" i="17"/>
  <c r="P107" i="17"/>
  <c r="Q107" i="17" s="1"/>
  <c r="R107" i="17"/>
  <c r="P108" i="17"/>
  <c r="Q108" i="17" s="1"/>
  <c r="R108" i="17"/>
  <c r="P109" i="17"/>
  <c r="Q109" i="17" s="1"/>
  <c r="R109" i="17"/>
  <c r="P110" i="17"/>
  <c r="Q110" i="17" s="1"/>
  <c r="R110" i="17"/>
  <c r="P111" i="17"/>
  <c r="P112" i="17"/>
  <c r="P113" i="17"/>
  <c r="P114" i="17"/>
  <c r="P115" i="17"/>
  <c r="P116" i="17"/>
  <c r="P117" i="17"/>
  <c r="Q117" i="17"/>
  <c r="R117" i="17"/>
  <c r="P118" i="17"/>
  <c r="P119" i="17"/>
  <c r="Q119" i="17"/>
  <c r="R119" i="17"/>
  <c r="P120" i="17"/>
  <c r="P121" i="17"/>
  <c r="Q121" i="17"/>
  <c r="R121" i="17"/>
  <c r="I122" i="17"/>
  <c r="G4" i="17"/>
  <c r="I4" i="17"/>
  <c r="I3" i="17"/>
  <c r="H3" i="17"/>
  <c r="G3" i="17"/>
  <c r="H2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4" i="17"/>
  <c r="E5" i="17"/>
  <c r="E6" i="17"/>
  <c r="E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3" i="17"/>
  <c r="C122" i="17"/>
  <c r="D122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6" i="17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2" i="16"/>
  <c r="F14" i="12" l="1"/>
  <c r="E14" i="12"/>
  <c r="Q122" i="17"/>
  <c r="R122" i="17"/>
  <c r="Q5" i="17"/>
  <c r="R5" i="17"/>
  <c r="Q6" i="17"/>
  <c r="R6" i="17"/>
  <c r="R8" i="17"/>
  <c r="Q8" i="17"/>
  <c r="R9" i="17"/>
  <c r="Q9" i="17"/>
  <c r="Q10" i="17"/>
  <c r="R10" i="17"/>
  <c r="R13" i="17"/>
  <c r="Q13" i="17"/>
  <c r="Q16" i="17"/>
  <c r="R16" i="17"/>
  <c r="R21" i="17"/>
  <c r="Q21" i="17"/>
  <c r="R23" i="17"/>
  <c r="Q23" i="17"/>
  <c r="R24" i="17"/>
  <c r="Q24" i="17"/>
  <c r="R26" i="17"/>
  <c r="Q26" i="17"/>
  <c r="R29" i="17"/>
  <c r="Q29" i="17"/>
  <c r="Q30" i="17"/>
  <c r="R30" i="17"/>
  <c r="R33" i="17"/>
  <c r="Q33" i="17"/>
  <c r="R35" i="17"/>
  <c r="Q35" i="17"/>
  <c r="Q39" i="17"/>
  <c r="R39" i="17"/>
  <c r="Q40" i="17"/>
  <c r="R40" i="17"/>
  <c r="Q41" i="17"/>
  <c r="R41" i="17"/>
  <c r="R45" i="17"/>
  <c r="Q45" i="17"/>
  <c r="R46" i="17"/>
  <c r="Q46" i="17"/>
  <c r="Q48" i="17"/>
  <c r="R48" i="17"/>
  <c r="Q50" i="17"/>
  <c r="R50" i="17"/>
  <c r="R52" i="17"/>
  <c r="Q52" i="17"/>
  <c r="Q53" i="17"/>
  <c r="R53" i="17"/>
  <c r="R56" i="17"/>
  <c r="Q56" i="17"/>
  <c r="Q58" i="17"/>
  <c r="R58" i="17"/>
  <c r="Q59" i="17"/>
  <c r="R59" i="17"/>
  <c r="Q60" i="17"/>
  <c r="R60" i="17"/>
  <c r="Q61" i="17"/>
  <c r="R61" i="17"/>
  <c r="R62" i="17"/>
  <c r="Q62" i="17"/>
  <c r="Q65" i="17"/>
  <c r="R65" i="17"/>
  <c r="R68" i="17"/>
  <c r="Q68" i="17"/>
  <c r="Q70" i="17"/>
  <c r="R70" i="17"/>
  <c r="Q71" i="17"/>
  <c r="R71" i="17"/>
  <c r="R72" i="17"/>
  <c r="Q72" i="17"/>
  <c r="R73" i="17"/>
  <c r="Q73" i="17"/>
  <c r="R74" i="17"/>
  <c r="Q74" i="17"/>
  <c r="R75" i="17"/>
  <c r="Q75" i="17"/>
  <c r="Q76" i="17"/>
  <c r="R76" i="17"/>
  <c r="Q93" i="17"/>
  <c r="R93" i="17"/>
  <c r="R95" i="17"/>
  <c r="Q95" i="17"/>
  <c r="R98" i="17"/>
  <c r="Q98" i="17"/>
  <c r="Q99" i="17"/>
  <c r="R99" i="17"/>
  <c r="R100" i="17"/>
  <c r="Q100" i="17"/>
  <c r="Q101" i="17"/>
  <c r="R101" i="17"/>
  <c r="R102" i="17"/>
  <c r="Q102" i="17"/>
  <c r="Q104" i="17"/>
  <c r="R104" i="17"/>
  <c r="Q105" i="17"/>
  <c r="R105" i="17"/>
  <c r="Q106" i="17"/>
  <c r="R106" i="17"/>
  <c r="Q111" i="17"/>
  <c r="R111" i="17"/>
  <c r="R112" i="17"/>
  <c r="Q112" i="17"/>
  <c r="R113" i="17"/>
  <c r="Q113" i="17"/>
  <c r="R114" i="17"/>
  <c r="Q114" i="17"/>
  <c r="Q115" i="17"/>
  <c r="R115" i="17"/>
  <c r="R116" i="17"/>
  <c r="Q116" i="17"/>
  <c r="R118" i="17"/>
  <c r="Q118" i="17"/>
  <c r="R120" i="17"/>
  <c r="Q120" i="17"/>
  <c r="H4" i="17"/>
  <c r="D43" i="16"/>
  <c r="D42" i="16"/>
  <c r="E43" i="16" s="1"/>
  <c r="F43" i="16" s="1"/>
  <c r="D41" i="16"/>
  <c r="D40" i="16"/>
  <c r="E41" i="16" s="1"/>
  <c r="F41" i="16" s="1"/>
  <c r="E39" i="16"/>
  <c r="F39" i="16" s="1"/>
  <c r="D39" i="16"/>
  <c r="E40" i="16" s="1"/>
  <c r="F38" i="16"/>
  <c r="E38" i="16"/>
  <c r="D38" i="16"/>
  <c r="D37" i="16"/>
  <c r="D36" i="16"/>
  <c r="E37" i="16" s="1"/>
  <c r="F37" i="16" s="1"/>
  <c r="D35" i="16"/>
  <c r="E36" i="16" s="1"/>
  <c r="F36" i="16" s="1"/>
  <c r="D34" i="16"/>
  <c r="E35" i="16" s="1"/>
  <c r="F35" i="16" s="1"/>
  <c r="D33" i="16"/>
  <c r="D32" i="16"/>
  <c r="E33" i="16" s="1"/>
  <c r="F33" i="16" s="1"/>
  <c r="E31" i="16"/>
  <c r="F31" i="16" s="1"/>
  <c r="D31" i="16"/>
  <c r="E32" i="16" s="1"/>
  <c r="F32" i="16" s="1"/>
  <c r="F30" i="16"/>
  <c r="E30" i="16"/>
  <c r="D30" i="16"/>
  <c r="D29" i="16"/>
  <c r="D28" i="16"/>
  <c r="E29" i="16" s="1"/>
  <c r="F29" i="16" s="1"/>
  <c r="D27" i="16"/>
  <c r="E28" i="16" s="1"/>
  <c r="F28" i="16" s="1"/>
  <c r="D26" i="16"/>
  <c r="E27" i="16" s="1"/>
  <c r="F27" i="16" s="1"/>
  <c r="D25" i="16"/>
  <c r="D24" i="16"/>
  <c r="E25" i="16" s="1"/>
  <c r="F25" i="16" s="1"/>
  <c r="E23" i="16"/>
  <c r="F23" i="16" s="1"/>
  <c r="D23" i="16"/>
  <c r="E24" i="16" s="1"/>
  <c r="F24" i="16" s="1"/>
  <c r="F22" i="16"/>
  <c r="E22" i="16"/>
  <c r="D22" i="16"/>
  <c r="D21" i="16"/>
  <c r="D20" i="16"/>
  <c r="E21" i="16" s="1"/>
  <c r="F21" i="16" s="1"/>
  <c r="D19" i="16"/>
  <c r="E20" i="16" s="1"/>
  <c r="F20" i="16" s="1"/>
  <c r="D18" i="16"/>
  <c r="E19" i="16" s="1"/>
  <c r="F19" i="16" s="1"/>
  <c r="D17" i="16"/>
  <c r="E18" i="16" s="1"/>
  <c r="F18" i="16" s="1"/>
  <c r="D16" i="16"/>
  <c r="E17" i="16" s="1"/>
  <c r="F17" i="16" s="1"/>
  <c r="D15" i="16"/>
  <c r="E16" i="16" s="1"/>
  <c r="F16" i="16" s="1"/>
  <c r="G16" i="16" s="1"/>
  <c r="D14" i="16"/>
  <c r="E15" i="16" s="1"/>
  <c r="F15" i="16" s="1"/>
  <c r="D13" i="16"/>
  <c r="E14" i="16" s="1"/>
  <c r="F14" i="16" s="1"/>
  <c r="D12" i="16"/>
  <c r="E13" i="16" s="1"/>
  <c r="F13" i="16" s="1"/>
  <c r="G13" i="16" s="1"/>
  <c r="D11" i="16"/>
  <c r="E12" i="16" s="1"/>
  <c r="F12" i="16" s="1"/>
  <c r="G12" i="16" s="1"/>
  <c r="D10" i="16"/>
  <c r="E11" i="16" s="1"/>
  <c r="F11" i="16" s="1"/>
  <c r="G11" i="16" s="1"/>
  <c r="D9" i="16"/>
  <c r="E10" i="16" s="1"/>
  <c r="F10" i="16" s="1"/>
  <c r="D8" i="16"/>
  <c r="E9" i="16" s="1"/>
  <c r="F9" i="16" s="1"/>
  <c r="D7" i="16"/>
  <c r="E8" i="16" s="1"/>
  <c r="F8" i="16" s="1"/>
  <c r="G15" i="12" l="1"/>
  <c r="L15" i="12" s="1"/>
  <c r="D15" i="12"/>
  <c r="I5" i="17"/>
  <c r="G5" i="17"/>
  <c r="L40" i="16"/>
  <c r="M40" i="16" s="1"/>
  <c r="G14" i="16"/>
  <c r="G15" i="16"/>
  <c r="H28" i="16"/>
  <c r="L28" i="16"/>
  <c r="M28" i="16" s="1"/>
  <c r="L4" i="16"/>
  <c r="M4" i="16" s="1"/>
  <c r="H16" i="16"/>
  <c r="H4" i="16"/>
  <c r="K52" i="16"/>
  <c r="L16" i="16"/>
  <c r="M16" i="16" s="1"/>
  <c r="G9" i="16"/>
  <c r="G17" i="16"/>
  <c r="K61" i="16"/>
  <c r="L25" i="16"/>
  <c r="M25" i="16" s="1"/>
  <c r="H25" i="16"/>
  <c r="H49" i="16"/>
  <c r="H13" i="16"/>
  <c r="L49" i="16"/>
  <c r="M49" i="16" s="1"/>
  <c r="L13" i="16"/>
  <c r="M13" i="16" s="1"/>
  <c r="L37" i="16"/>
  <c r="M37" i="16" s="1"/>
  <c r="H37" i="16"/>
  <c r="G18" i="16"/>
  <c r="G8" i="16"/>
  <c r="L47" i="16"/>
  <c r="M47" i="16" s="1"/>
  <c r="L35" i="16"/>
  <c r="M35" i="16" s="1"/>
  <c r="L11" i="16"/>
  <c r="M11" i="16" s="1"/>
  <c r="H47" i="16"/>
  <c r="H35" i="16"/>
  <c r="H11" i="16"/>
  <c r="H23" i="16"/>
  <c r="K59" i="16"/>
  <c r="L23" i="16"/>
  <c r="M23" i="16" s="1"/>
  <c r="G19" i="16"/>
  <c r="H36" i="16"/>
  <c r="K60" i="16"/>
  <c r="H12" i="16"/>
  <c r="L48" i="16"/>
  <c r="M48" i="16" s="1"/>
  <c r="H48" i="16"/>
  <c r="L24" i="16"/>
  <c r="M24" i="16" s="1"/>
  <c r="H24" i="16"/>
  <c r="L12" i="16"/>
  <c r="M12" i="16" s="1"/>
  <c r="L36" i="16"/>
  <c r="M36" i="16" s="1"/>
  <c r="E26" i="16"/>
  <c r="F26" i="16" s="1"/>
  <c r="E34" i="16"/>
  <c r="F34" i="16" s="1"/>
  <c r="G10" i="16" s="1"/>
  <c r="E42" i="16"/>
  <c r="F42" i="16" s="1"/>
  <c r="N15" i="12" l="1"/>
  <c r="M15" i="12"/>
  <c r="E15" i="12"/>
  <c r="F15" i="12"/>
  <c r="I6" i="17"/>
  <c r="H5" i="17"/>
  <c r="G6" i="17" s="1"/>
  <c r="L34" i="16"/>
  <c r="M34" i="16" s="1"/>
  <c r="H34" i="16"/>
  <c r="L10" i="16"/>
  <c r="M10" i="16" s="1"/>
  <c r="K58" i="16"/>
  <c r="H10" i="16"/>
  <c r="L22" i="16"/>
  <c r="M22" i="16" s="1"/>
  <c r="L46" i="16"/>
  <c r="M46" i="16" s="1"/>
  <c r="H22" i="16"/>
  <c r="H46" i="16"/>
  <c r="K54" i="16"/>
  <c r="H6" i="16"/>
  <c r="L42" i="16"/>
  <c r="M42" i="16" s="1"/>
  <c r="H42" i="16"/>
  <c r="L18" i="16"/>
  <c r="M18" i="16" s="1"/>
  <c r="H18" i="16"/>
  <c r="L30" i="16"/>
  <c r="M30" i="16" s="1"/>
  <c r="L6" i="16"/>
  <c r="M6" i="16" s="1"/>
  <c r="H30" i="16"/>
  <c r="N48" i="16"/>
  <c r="N25" i="16"/>
  <c r="H20" i="16"/>
  <c r="H8" i="16"/>
  <c r="L44" i="16"/>
  <c r="M44" i="16" s="1"/>
  <c r="H44" i="16"/>
  <c r="L32" i="16"/>
  <c r="M32" i="16" s="1"/>
  <c r="L20" i="16"/>
  <c r="M20" i="16" s="1"/>
  <c r="H32" i="16"/>
  <c r="K56" i="16"/>
  <c r="L8" i="16"/>
  <c r="M8" i="16" s="1"/>
  <c r="N37" i="16"/>
  <c r="H17" i="16"/>
  <c r="H29" i="16"/>
  <c r="L41" i="16"/>
  <c r="M41" i="16" s="1"/>
  <c r="H41" i="16"/>
  <c r="L5" i="16"/>
  <c r="M5" i="16" s="1"/>
  <c r="K53" i="16"/>
  <c r="L17" i="16"/>
  <c r="M17" i="16" s="1"/>
  <c r="L29" i="16"/>
  <c r="M29" i="16" s="1"/>
  <c r="H5" i="16"/>
  <c r="N4" i="16"/>
  <c r="N24" i="16"/>
  <c r="N36" i="16"/>
  <c r="N11" i="16"/>
  <c r="N13" i="16"/>
  <c r="L33" i="16"/>
  <c r="M33" i="16" s="1"/>
  <c r="H45" i="16"/>
  <c r="H9" i="16"/>
  <c r="H33" i="16"/>
  <c r="K57" i="16"/>
  <c r="L45" i="16"/>
  <c r="M45" i="16" s="1"/>
  <c r="L9" i="16"/>
  <c r="M9" i="16" s="1"/>
  <c r="H21" i="16"/>
  <c r="L21" i="16"/>
  <c r="M21" i="16" s="1"/>
  <c r="N28" i="16"/>
  <c r="N23" i="16"/>
  <c r="N40" i="16"/>
  <c r="N12" i="16"/>
  <c r="L43" i="16"/>
  <c r="M43" i="16" s="1"/>
  <c r="L19" i="16"/>
  <c r="M19" i="16" s="1"/>
  <c r="L7" i="16"/>
  <c r="M7" i="16" s="1"/>
  <c r="H43" i="16"/>
  <c r="H19" i="16"/>
  <c r="H7" i="16"/>
  <c r="H31" i="16"/>
  <c r="L31" i="16"/>
  <c r="M31" i="16" s="1"/>
  <c r="K55" i="16"/>
  <c r="N35" i="16"/>
  <c r="N49" i="16"/>
  <c r="N16" i="16"/>
  <c r="N47" i="16"/>
  <c r="L27" i="16"/>
  <c r="M27" i="16" s="1"/>
  <c r="L15" i="16"/>
  <c r="M15" i="16" s="1"/>
  <c r="H27" i="16"/>
  <c r="H15" i="16"/>
  <c r="L3" i="16"/>
  <c r="M3" i="16" s="1"/>
  <c r="H3" i="16"/>
  <c r="H39" i="16"/>
  <c r="L39" i="16"/>
  <c r="M39" i="16" s="1"/>
  <c r="K51" i="16"/>
  <c r="H2" i="16"/>
  <c r="L26" i="16"/>
  <c r="M26" i="16" s="1"/>
  <c r="H26" i="16"/>
  <c r="L14" i="16"/>
  <c r="M14" i="16" s="1"/>
  <c r="H14" i="16"/>
  <c r="L38" i="16"/>
  <c r="M38" i="16" s="1"/>
  <c r="L2" i="16"/>
  <c r="M2" i="16" s="1"/>
  <c r="H38" i="16"/>
  <c r="D16" i="12" l="1"/>
  <c r="G16" i="12"/>
  <c r="L16" i="12" s="1"/>
  <c r="H6" i="17"/>
  <c r="N17" i="16"/>
  <c r="N27" i="16"/>
  <c r="N19" i="16"/>
  <c r="N8" i="16"/>
  <c r="N46" i="16"/>
  <c r="N7" i="16"/>
  <c r="N43" i="16"/>
  <c r="N5" i="16"/>
  <c r="N18" i="16"/>
  <c r="N22" i="16"/>
  <c r="N38" i="16"/>
  <c r="N31" i="16"/>
  <c r="N21" i="16"/>
  <c r="N33" i="16"/>
  <c r="N41" i="16"/>
  <c r="N20" i="16"/>
  <c r="N42" i="16"/>
  <c r="N30" i="16"/>
  <c r="N3" i="16"/>
  <c r="N9" i="16"/>
  <c r="N32" i="16"/>
  <c r="N10" i="16"/>
  <c r="N15" i="16"/>
  <c r="N2" i="16"/>
  <c r="M53" i="16"/>
  <c r="N14" i="16"/>
  <c r="N45" i="16"/>
  <c r="N39" i="16"/>
  <c r="N26" i="16"/>
  <c r="N29" i="16"/>
  <c r="N44" i="16"/>
  <c r="N6" i="16"/>
  <c r="N34" i="16"/>
  <c r="F16" i="12" l="1"/>
  <c r="E16" i="12"/>
  <c r="N16" i="12"/>
  <c r="M16" i="12"/>
  <c r="I7" i="17"/>
  <c r="G7" i="17"/>
  <c r="N53" i="16"/>
  <c r="N56" i="16" s="1"/>
  <c r="G17" i="12" l="1"/>
  <c r="L17" i="12" s="1"/>
  <c r="D17" i="12"/>
  <c r="H7" i="17"/>
  <c r="G8" i="17"/>
  <c r="I8" i="17"/>
  <c r="R15" i="12"/>
  <c r="S15" i="12" s="1"/>
  <c r="R14" i="12"/>
  <c r="S14" i="12" s="1"/>
  <c r="R13" i="12"/>
  <c r="S13" i="12" s="1"/>
  <c r="R12" i="12"/>
  <c r="S12" i="12" s="1"/>
  <c r="R11" i="12"/>
  <c r="S11" i="12" s="1"/>
  <c r="R10" i="12"/>
  <c r="S10" i="12"/>
  <c r="R9" i="12"/>
  <c r="S9" i="12" s="1"/>
  <c r="R8" i="12"/>
  <c r="S8" i="12"/>
  <c r="R7" i="12"/>
  <c r="S7" i="12"/>
  <c r="R6" i="12"/>
  <c r="S6" i="12" s="1"/>
  <c r="R5" i="12"/>
  <c r="S5" i="12" s="1"/>
  <c r="R4" i="12"/>
  <c r="S4" i="12" s="1"/>
  <c r="N17" i="12" l="1"/>
  <c r="M17" i="12"/>
  <c r="E17" i="12"/>
  <c r="F17" i="12"/>
  <c r="H8" i="17"/>
  <c r="S17" i="12"/>
  <c r="D18" i="12" l="1"/>
  <c r="G18" i="12"/>
  <c r="L18" i="12" s="1"/>
  <c r="I9" i="17"/>
  <c r="G9" i="17"/>
  <c r="E18" i="12" l="1"/>
  <c r="F18" i="12"/>
  <c r="M18" i="12"/>
  <c r="N18" i="12"/>
  <c r="H9" i="17"/>
  <c r="G10" i="17"/>
  <c r="I10" i="17"/>
  <c r="D19" i="12" l="1"/>
  <c r="G19" i="12"/>
  <c r="L19" i="12" s="1"/>
  <c r="I11" i="17"/>
  <c r="G11" i="17"/>
  <c r="H10" i="17"/>
  <c r="N19" i="12" l="1"/>
  <c r="M19" i="12"/>
  <c r="F19" i="12"/>
  <c r="E19" i="12"/>
  <c r="H11" i="17"/>
  <c r="D20" i="12" l="1"/>
  <c r="G20" i="12"/>
  <c r="L20" i="12" s="1"/>
  <c r="I12" i="17"/>
  <c r="G12" i="17"/>
  <c r="F20" i="12" l="1"/>
  <c r="E20" i="12"/>
  <c r="M20" i="12"/>
  <c r="N20" i="12"/>
  <c r="H12" i="17"/>
  <c r="G13" i="17"/>
  <c r="I13" i="17"/>
  <c r="G21" i="12" l="1"/>
  <c r="L21" i="12" s="1"/>
  <c r="D21" i="12"/>
  <c r="G14" i="17"/>
  <c r="H13" i="17"/>
  <c r="I14" i="17" s="1"/>
  <c r="E21" i="12" l="1"/>
  <c r="F21" i="12"/>
  <c r="N21" i="12"/>
  <c r="M21" i="12"/>
  <c r="H14" i="17"/>
  <c r="G22" i="12" l="1"/>
  <c r="L22" i="12" s="1"/>
  <c r="D22" i="12"/>
  <c r="I15" i="17"/>
  <c r="G15" i="17"/>
  <c r="E22" i="12" l="1"/>
  <c r="F22" i="12"/>
  <c r="M22" i="12"/>
  <c r="N22" i="12"/>
  <c r="H15" i="17"/>
  <c r="G16" i="17"/>
  <c r="I16" i="17"/>
  <c r="G23" i="12" l="1"/>
  <c r="L23" i="12" s="1"/>
  <c r="D23" i="12"/>
  <c r="G17" i="17"/>
  <c r="H16" i="17"/>
  <c r="I17" i="17" s="1"/>
  <c r="M23" i="12" l="1"/>
  <c r="N23" i="12"/>
  <c r="E23" i="12"/>
  <c r="F23" i="12"/>
  <c r="H17" i="17"/>
  <c r="D24" i="12" l="1"/>
  <c r="G24" i="12"/>
  <c r="L24" i="12" s="1"/>
  <c r="I18" i="17"/>
  <c r="G18" i="17"/>
  <c r="F24" i="12" l="1"/>
  <c r="E24" i="12"/>
  <c r="N24" i="12"/>
  <c r="M24" i="12"/>
  <c r="H18" i="17"/>
  <c r="G19" i="17"/>
  <c r="I19" i="17"/>
  <c r="G25" i="12" l="1"/>
  <c r="L25" i="12" s="1"/>
  <c r="D25" i="12"/>
  <c r="H19" i="17"/>
  <c r="E25" i="12" l="1"/>
  <c r="F25" i="12"/>
  <c r="N25" i="12"/>
  <c r="M25" i="12"/>
  <c r="G20" i="17"/>
  <c r="I20" i="17"/>
  <c r="G26" i="12" l="1"/>
  <c r="L26" i="12" s="1"/>
  <c r="D26" i="12"/>
  <c r="H20" i="17"/>
  <c r="M26" i="12" l="1"/>
  <c r="N26" i="12"/>
  <c r="E26" i="12"/>
  <c r="F26" i="12"/>
  <c r="G21" i="17"/>
  <c r="I21" i="17"/>
  <c r="G27" i="12" l="1"/>
  <c r="L27" i="12" s="1"/>
  <c r="D27" i="12"/>
  <c r="H21" i="17"/>
  <c r="G22" i="17"/>
  <c r="I22" i="17"/>
  <c r="N27" i="12" l="1"/>
  <c r="M27" i="12"/>
  <c r="E27" i="12"/>
  <c r="F27" i="12"/>
  <c r="H22" i="17"/>
  <c r="G28" i="12" l="1"/>
  <c r="L28" i="12" s="1"/>
  <c r="D28" i="12"/>
  <c r="I23" i="17"/>
  <c r="G23" i="17"/>
  <c r="E28" i="12" l="1"/>
  <c r="F28" i="12"/>
  <c r="N28" i="12"/>
  <c r="M28" i="12"/>
  <c r="H23" i="17"/>
  <c r="G24" i="17"/>
  <c r="I24" i="17"/>
  <c r="D29" i="12" l="1"/>
  <c r="G29" i="12"/>
  <c r="L29" i="12" s="1"/>
  <c r="H24" i="17"/>
  <c r="E29" i="12" l="1"/>
  <c r="F29" i="12"/>
  <c r="M29" i="12"/>
  <c r="N29" i="12"/>
  <c r="I25" i="17"/>
  <c r="G25" i="17"/>
  <c r="D30" i="12" l="1"/>
  <c r="G30" i="12"/>
  <c r="L30" i="12" s="1"/>
  <c r="H25" i="17"/>
  <c r="G26" i="17"/>
  <c r="I26" i="17"/>
  <c r="E30" i="12" l="1"/>
  <c r="F30" i="12"/>
  <c r="M30" i="12"/>
  <c r="N30" i="12"/>
  <c r="H26" i="17"/>
  <c r="G31" i="12" l="1"/>
  <c r="L31" i="12" s="1"/>
  <c r="D31" i="12"/>
  <c r="G27" i="17"/>
  <c r="I27" i="17"/>
  <c r="F31" i="12" l="1"/>
  <c r="E31" i="12"/>
  <c r="N31" i="12"/>
  <c r="M31" i="12"/>
  <c r="H27" i="17"/>
  <c r="D32" i="12" l="1"/>
  <c r="G32" i="12"/>
  <c r="L32" i="12" s="1"/>
  <c r="G28" i="17"/>
  <c r="I28" i="17"/>
  <c r="F32" i="12" l="1"/>
  <c r="E32" i="12"/>
  <c r="M32" i="12"/>
  <c r="N32" i="12"/>
  <c r="H28" i="17"/>
  <c r="D33" i="12" l="1"/>
  <c r="G33" i="12"/>
  <c r="L33" i="12" s="1"/>
  <c r="I29" i="17"/>
  <c r="G29" i="17"/>
  <c r="N33" i="12" l="1"/>
  <c r="M33" i="12"/>
  <c r="E33" i="12"/>
  <c r="F33" i="12"/>
  <c r="H29" i="17"/>
  <c r="G30" i="17"/>
  <c r="I30" i="17"/>
  <c r="G34" i="12" l="1"/>
  <c r="L34" i="12" s="1"/>
  <c r="D34" i="12"/>
  <c r="H30" i="17"/>
  <c r="M34" i="12" l="1"/>
  <c r="N34" i="12"/>
  <c r="F34" i="12"/>
  <c r="E34" i="12"/>
  <c r="G31" i="17"/>
  <c r="I31" i="17"/>
  <c r="G35" i="12" l="1"/>
  <c r="L35" i="12" s="1"/>
  <c r="D35" i="12"/>
  <c r="H31" i="17"/>
  <c r="M35" i="12" l="1"/>
  <c r="N35" i="12"/>
  <c r="E35" i="12"/>
  <c r="F35" i="12"/>
  <c r="G32" i="17"/>
  <c r="I32" i="17"/>
  <c r="D36" i="12" l="1"/>
  <c r="G36" i="12"/>
  <c r="L36" i="12" s="1"/>
  <c r="H32" i="17"/>
  <c r="G33" i="17"/>
  <c r="I33" i="17"/>
  <c r="N36" i="12" l="1"/>
  <c r="M36" i="12"/>
  <c r="F36" i="12"/>
  <c r="E36" i="12"/>
  <c r="H33" i="17"/>
  <c r="G37" i="12" l="1"/>
  <c r="L37" i="12" s="1"/>
  <c r="D37" i="12"/>
  <c r="I34" i="17"/>
  <c r="G34" i="17"/>
  <c r="E37" i="12" l="1"/>
  <c r="F37" i="12"/>
  <c r="N37" i="12"/>
  <c r="M37" i="12"/>
  <c r="H34" i="17"/>
  <c r="G35" i="17"/>
  <c r="I35" i="17"/>
  <c r="D38" i="12" l="1"/>
  <c r="G38" i="12"/>
  <c r="L38" i="12" s="1"/>
  <c r="H35" i="17"/>
  <c r="E38" i="12" l="1"/>
  <c r="F38" i="12"/>
  <c r="N38" i="12"/>
  <c r="M38" i="12"/>
  <c r="I36" i="17"/>
  <c r="G36" i="17"/>
  <c r="D39" i="12" l="1"/>
  <c r="G39" i="12"/>
  <c r="L39" i="12" s="1"/>
  <c r="H36" i="17"/>
  <c r="G37" i="17"/>
  <c r="I37" i="17"/>
  <c r="E39" i="12" l="1"/>
  <c r="F39" i="12"/>
  <c r="N39" i="12"/>
  <c r="M39" i="12"/>
  <c r="I38" i="17"/>
  <c r="H37" i="17"/>
  <c r="G38" i="17" s="1"/>
  <c r="D40" i="12" l="1"/>
  <c r="G40" i="12"/>
  <c r="L40" i="12" s="1"/>
  <c r="H38" i="17"/>
  <c r="M40" i="12" l="1"/>
  <c r="N40" i="12"/>
  <c r="E40" i="12"/>
  <c r="F40" i="12"/>
  <c r="I39" i="17"/>
  <c r="G39" i="17"/>
  <c r="D41" i="12" l="1"/>
  <c r="G41" i="12"/>
  <c r="L41" i="12" s="1"/>
  <c r="H39" i="17"/>
  <c r="G40" i="17"/>
  <c r="I40" i="17"/>
  <c r="F41" i="12" l="1"/>
  <c r="E41" i="12"/>
  <c r="N41" i="12"/>
  <c r="M41" i="12"/>
  <c r="H40" i="17"/>
  <c r="D42" i="12" l="1"/>
  <c r="G42" i="12"/>
  <c r="L42" i="12" s="1"/>
  <c r="I41" i="17"/>
  <c r="G41" i="17"/>
  <c r="F42" i="12" l="1"/>
  <c r="E42" i="12"/>
  <c r="N42" i="12"/>
  <c r="M42" i="12"/>
  <c r="H41" i="17"/>
  <c r="G42" i="17"/>
  <c r="I42" i="17"/>
  <c r="G43" i="12" l="1"/>
  <c r="L43" i="12" s="1"/>
  <c r="D43" i="12"/>
  <c r="H42" i="17"/>
  <c r="F43" i="12" l="1"/>
  <c r="E43" i="12"/>
  <c r="N43" i="12"/>
  <c r="M43" i="12"/>
  <c r="I43" i="17"/>
  <c r="G43" i="17"/>
  <c r="G44" i="12" l="1"/>
  <c r="L44" i="12" s="1"/>
  <c r="D44" i="12"/>
  <c r="H43" i="17"/>
  <c r="M44" i="12" l="1"/>
  <c r="N44" i="12"/>
  <c r="F44" i="12"/>
  <c r="E44" i="12"/>
  <c r="G44" i="17"/>
  <c r="I44" i="17"/>
  <c r="D45" i="12" l="1"/>
  <c r="G45" i="12"/>
  <c r="L45" i="12" s="1"/>
  <c r="H44" i="17"/>
  <c r="I45" i="17" s="1"/>
  <c r="G45" i="17"/>
  <c r="F45" i="12" l="1"/>
  <c r="E45" i="12"/>
  <c r="N45" i="12"/>
  <c r="M45" i="12"/>
  <c r="H45" i="17"/>
  <c r="G46" i="12" l="1"/>
  <c r="L46" i="12" s="1"/>
  <c r="D46" i="12"/>
  <c r="G46" i="17"/>
  <c r="I46" i="17"/>
  <c r="F46" i="12" l="1"/>
  <c r="E46" i="12"/>
  <c r="M46" i="12"/>
  <c r="N46" i="12"/>
  <c r="H46" i="17"/>
  <c r="G47" i="17"/>
  <c r="I47" i="17"/>
  <c r="G47" i="12" l="1"/>
  <c r="L47" i="12" s="1"/>
  <c r="D47" i="12"/>
  <c r="H47" i="17"/>
  <c r="N47" i="12" l="1"/>
  <c r="M47" i="12"/>
  <c r="F47" i="12"/>
  <c r="E47" i="12"/>
  <c r="G48" i="17"/>
  <c r="I48" i="17"/>
  <c r="D48" i="12" l="1"/>
  <c r="G48" i="12"/>
  <c r="L48" i="12" s="1"/>
  <c r="H48" i="17"/>
  <c r="M48" i="12" l="1"/>
  <c r="N48" i="12"/>
  <c r="F48" i="12"/>
  <c r="E48" i="12"/>
  <c r="G49" i="17"/>
  <c r="I49" i="17"/>
  <c r="D49" i="12" l="1"/>
  <c r="G49" i="12"/>
  <c r="L49" i="12" s="1"/>
  <c r="H49" i="17"/>
  <c r="G50" i="17"/>
  <c r="I50" i="17"/>
  <c r="E49" i="12" l="1"/>
  <c r="F49" i="12"/>
  <c r="N49" i="12"/>
  <c r="M49" i="12"/>
  <c r="H50" i="17"/>
  <c r="G50" i="12" l="1"/>
  <c r="L50" i="12" s="1"/>
  <c r="D50" i="12"/>
  <c r="M50" i="12"/>
  <c r="N50" i="12"/>
  <c r="E50" i="12"/>
  <c r="F50" i="12"/>
  <c r="I51" i="17"/>
  <c r="G51" i="17"/>
  <c r="G51" i="12" l="1"/>
  <c r="L51" i="12" s="1"/>
  <c r="D51" i="12"/>
  <c r="H51" i="17"/>
  <c r="G52" i="17"/>
  <c r="I52" i="17"/>
  <c r="N51" i="12" l="1"/>
  <c r="M51" i="12"/>
  <c r="E51" i="12"/>
  <c r="F51" i="12"/>
  <c r="H52" i="17"/>
  <c r="G52" i="12" l="1"/>
  <c r="L52" i="12" s="1"/>
  <c r="D52" i="12"/>
  <c r="I53" i="17"/>
  <c r="G53" i="17"/>
  <c r="F52" i="12" l="1"/>
  <c r="E52" i="12"/>
  <c r="M52" i="12"/>
  <c r="N52" i="12"/>
  <c r="H53" i="17"/>
  <c r="G53" i="12" l="1"/>
  <c r="L53" i="12" s="1"/>
  <c r="D53" i="12"/>
  <c r="G54" i="17"/>
  <c r="I54" i="17"/>
  <c r="F53" i="12" l="1"/>
  <c r="E53" i="12"/>
  <c r="M53" i="12"/>
  <c r="N53" i="12"/>
  <c r="H54" i="17"/>
  <c r="G54" i="12" l="1"/>
  <c r="L54" i="12" s="1"/>
  <c r="D54" i="12"/>
  <c r="G55" i="17"/>
  <c r="I55" i="17"/>
  <c r="N54" i="12" l="1"/>
  <c r="M54" i="12"/>
  <c r="F54" i="12"/>
  <c r="E54" i="12"/>
  <c r="H55" i="17"/>
  <c r="G55" i="12" l="1"/>
  <c r="L55" i="12" s="1"/>
  <c r="D55" i="12"/>
  <c r="I56" i="17"/>
  <c r="G56" i="17"/>
  <c r="N55" i="12" l="1"/>
  <c r="M55" i="12"/>
  <c r="E55" i="12"/>
  <c r="F55" i="12"/>
  <c r="H56" i="17"/>
  <c r="G56" i="12" l="1"/>
  <c r="L56" i="12" s="1"/>
  <c r="D56" i="12"/>
  <c r="G57" i="17"/>
  <c r="I57" i="17"/>
  <c r="E56" i="12" l="1"/>
  <c r="F56" i="12"/>
  <c r="N56" i="12"/>
  <c r="M56" i="12"/>
  <c r="H57" i="17"/>
  <c r="G57" i="12" l="1"/>
  <c r="L57" i="12" s="1"/>
  <c r="D57" i="12"/>
  <c r="G58" i="17"/>
  <c r="I58" i="17"/>
  <c r="N57" i="12" l="1"/>
  <c r="M57" i="12"/>
  <c r="E57" i="12"/>
  <c r="F57" i="12"/>
  <c r="H58" i="17"/>
  <c r="D58" i="12" l="1"/>
  <c r="G58" i="12"/>
  <c r="L58" i="12" s="1"/>
  <c r="I59" i="17"/>
  <c r="G59" i="17"/>
  <c r="F58" i="12" l="1"/>
  <c r="E58" i="12"/>
  <c r="M58" i="12"/>
  <c r="N58" i="12"/>
  <c r="H59" i="17"/>
  <c r="D59" i="12" l="1"/>
  <c r="G59" i="12"/>
  <c r="L59" i="12" s="1"/>
  <c r="G60" i="17"/>
  <c r="I60" i="17"/>
  <c r="F59" i="12" l="1"/>
  <c r="E59" i="12"/>
  <c r="N59" i="12"/>
  <c r="M59" i="12"/>
  <c r="H60" i="17"/>
  <c r="D60" i="12" l="1"/>
  <c r="G60" i="12"/>
  <c r="L60" i="12" s="1"/>
  <c r="I61" i="17"/>
  <c r="G61" i="17"/>
  <c r="F60" i="12" l="1"/>
  <c r="E60" i="12"/>
  <c r="N60" i="12"/>
  <c r="M60" i="12"/>
  <c r="H61" i="17"/>
  <c r="D61" i="12" l="1"/>
  <c r="G61" i="12"/>
  <c r="L61" i="12" s="1"/>
  <c r="G62" i="17"/>
  <c r="I62" i="17"/>
  <c r="E61" i="12" l="1"/>
  <c r="F61" i="12"/>
  <c r="M61" i="12"/>
  <c r="N61" i="12"/>
  <c r="I63" i="17"/>
  <c r="H62" i="17"/>
  <c r="G63" i="17"/>
  <c r="G62" i="12" l="1"/>
  <c r="L62" i="12" s="1"/>
  <c r="D62" i="12"/>
  <c r="H63" i="17"/>
  <c r="E62" i="12" l="1"/>
  <c r="F62" i="12"/>
  <c r="M62" i="12"/>
  <c r="N62" i="12"/>
  <c r="I64" i="17"/>
  <c r="G64" i="17"/>
  <c r="G63" i="12" l="1"/>
  <c r="L63" i="12" s="1"/>
  <c r="D63" i="12"/>
  <c r="H64" i="17"/>
  <c r="F63" i="12" l="1"/>
  <c r="E63" i="12"/>
  <c r="M63" i="12"/>
  <c r="N63" i="12"/>
  <c r="G65" i="17"/>
  <c r="I65" i="17"/>
  <c r="G64" i="12" l="1"/>
  <c r="L64" i="12" s="1"/>
  <c r="D64" i="12"/>
  <c r="H65" i="17"/>
  <c r="N64" i="12" l="1"/>
  <c r="M64" i="12"/>
  <c r="F64" i="12"/>
  <c r="E64" i="12"/>
  <c r="G66" i="17"/>
  <c r="I66" i="17"/>
  <c r="G65" i="12" l="1"/>
  <c r="L65" i="12" s="1"/>
  <c r="D65" i="12"/>
  <c r="H66" i="17"/>
  <c r="F65" i="12" l="1"/>
  <c r="E65" i="12"/>
  <c r="M65" i="12"/>
  <c r="N65" i="12"/>
  <c r="G67" i="17"/>
  <c r="I67" i="17"/>
  <c r="D66" i="12" l="1"/>
  <c r="G66" i="12"/>
  <c r="L66" i="12" s="1"/>
  <c r="H67" i="17"/>
  <c r="F66" i="12" l="1"/>
  <c r="E66" i="12"/>
  <c r="M66" i="12"/>
  <c r="N66" i="12"/>
  <c r="G68" i="17"/>
  <c r="I68" i="17"/>
  <c r="G67" i="12" l="1"/>
  <c r="L67" i="12" s="1"/>
  <c r="D67" i="12"/>
  <c r="H68" i="17"/>
  <c r="E67" i="12" l="1"/>
  <c r="F67" i="12"/>
  <c r="N67" i="12"/>
  <c r="M67" i="12"/>
  <c r="G68" i="12"/>
  <c r="L68" i="12" s="1"/>
  <c r="D68" i="12"/>
  <c r="G69" i="17"/>
  <c r="I69" i="17"/>
  <c r="N68" i="12" l="1"/>
  <c r="M68" i="12"/>
  <c r="F68" i="12"/>
  <c r="E68" i="12"/>
  <c r="H69" i="17"/>
  <c r="D69" i="12" l="1"/>
  <c r="G69" i="12"/>
  <c r="L69" i="12" s="1"/>
  <c r="G70" i="17"/>
  <c r="I70" i="17"/>
  <c r="E69" i="12" l="1"/>
  <c r="F69" i="12"/>
  <c r="M69" i="12"/>
  <c r="N69" i="12"/>
  <c r="H70" i="17"/>
  <c r="G70" i="12" l="1"/>
  <c r="L70" i="12" s="1"/>
  <c r="D70" i="12"/>
  <c r="G71" i="17"/>
  <c r="I71" i="17"/>
  <c r="F70" i="12" l="1"/>
  <c r="E70" i="12"/>
  <c r="M70" i="12"/>
  <c r="N70" i="12"/>
  <c r="H71" i="17"/>
  <c r="G71" i="12" l="1"/>
  <c r="L71" i="12" s="1"/>
  <c r="D71" i="12"/>
  <c r="G72" i="17"/>
  <c r="I72" i="17"/>
  <c r="N71" i="12" l="1"/>
  <c r="M71" i="12"/>
  <c r="E71" i="12"/>
  <c r="F71" i="12"/>
  <c r="H72" i="17"/>
  <c r="G72" i="12" l="1"/>
  <c r="L72" i="12" s="1"/>
  <c r="D72" i="12"/>
  <c r="G73" i="17"/>
  <c r="I73" i="17"/>
  <c r="N72" i="12" l="1"/>
  <c r="M72" i="12"/>
  <c r="F72" i="12"/>
  <c r="E72" i="12"/>
  <c r="H73" i="17"/>
  <c r="D73" i="12" l="1"/>
  <c r="G73" i="12"/>
  <c r="L73" i="12" s="1"/>
  <c r="G74" i="17"/>
  <c r="I74" i="17"/>
  <c r="M73" i="12" l="1"/>
  <c r="N73" i="12"/>
  <c r="F73" i="12"/>
  <c r="E73" i="12"/>
  <c r="H74" i="17"/>
  <c r="G74" i="12" l="1"/>
  <c r="L74" i="12" s="1"/>
  <c r="D74" i="12"/>
  <c r="G75" i="17"/>
  <c r="I75" i="17"/>
  <c r="M74" i="12" l="1"/>
  <c r="N74" i="12"/>
  <c r="E74" i="12"/>
  <c r="F74" i="12"/>
  <c r="H75" i="17"/>
  <c r="G76" i="17" s="1"/>
  <c r="I76" i="17"/>
  <c r="D75" i="12" l="1"/>
  <c r="G75" i="12"/>
  <c r="L75" i="12" s="1"/>
  <c r="H76" i="17"/>
  <c r="F75" i="12" l="1"/>
  <c r="E75" i="12"/>
  <c r="N75" i="12"/>
  <c r="M75" i="12"/>
  <c r="I77" i="17"/>
  <c r="G77" i="17"/>
  <c r="D76" i="12" l="1"/>
  <c r="G76" i="12"/>
  <c r="L76" i="12" s="1"/>
  <c r="H77" i="17"/>
  <c r="F76" i="12" l="1"/>
  <c r="E76" i="12"/>
  <c r="M76" i="12"/>
  <c r="N76" i="12"/>
  <c r="G78" i="17"/>
  <c r="I78" i="17"/>
  <c r="G77" i="12" l="1"/>
  <c r="L77" i="12" s="1"/>
  <c r="D77" i="12"/>
  <c r="H78" i="17"/>
  <c r="F77" i="12" l="1"/>
  <c r="E77" i="12"/>
  <c r="M77" i="12"/>
  <c r="N77" i="12"/>
  <c r="G79" i="17"/>
  <c r="I79" i="17"/>
  <c r="D78" i="12" l="1"/>
  <c r="G78" i="12"/>
  <c r="L78" i="12" s="1"/>
  <c r="H79" i="17"/>
  <c r="N78" i="12" l="1"/>
  <c r="M78" i="12"/>
  <c r="E78" i="12"/>
  <c r="F78" i="12"/>
  <c r="G80" i="17"/>
  <c r="I80" i="17"/>
  <c r="G79" i="12" l="1"/>
  <c r="L79" i="12" s="1"/>
  <c r="D79" i="12"/>
  <c r="H80" i="17"/>
  <c r="N79" i="12" l="1"/>
  <c r="M79" i="12"/>
  <c r="F79" i="12"/>
  <c r="E79" i="12"/>
  <c r="G81" i="17"/>
  <c r="I81" i="17"/>
  <c r="D80" i="12" l="1"/>
  <c r="G80" i="12"/>
  <c r="L80" i="12" s="1"/>
  <c r="H81" i="17"/>
  <c r="E80" i="12" l="1"/>
  <c r="F80" i="12"/>
  <c r="M80" i="12"/>
  <c r="N80" i="12"/>
  <c r="G82" i="17"/>
  <c r="I82" i="17"/>
  <c r="D81" i="12" l="1"/>
  <c r="G81" i="12"/>
  <c r="L81" i="12" s="1"/>
  <c r="H82" i="17"/>
  <c r="G83" i="17"/>
  <c r="I83" i="17"/>
  <c r="F81" i="12" l="1"/>
  <c r="E81" i="12"/>
  <c r="N81" i="12"/>
  <c r="M81" i="12"/>
  <c r="H83" i="17"/>
  <c r="D82" i="12" l="1"/>
  <c r="G82" i="12"/>
  <c r="L82" i="12" s="1"/>
  <c r="I84" i="17"/>
  <c r="G84" i="17"/>
  <c r="F82" i="12" l="1"/>
  <c r="E82" i="12"/>
  <c r="M82" i="12"/>
  <c r="N82" i="12"/>
  <c r="H84" i="17"/>
  <c r="D83" i="12" l="1"/>
  <c r="G83" i="12"/>
  <c r="L83" i="12" s="1"/>
  <c r="G85" i="17"/>
  <c r="I85" i="17"/>
  <c r="M83" i="12" l="1"/>
  <c r="N83" i="12"/>
  <c r="F83" i="12"/>
  <c r="E83" i="12"/>
  <c r="H85" i="17"/>
  <c r="G86" i="17"/>
  <c r="I86" i="17"/>
  <c r="D84" i="12" l="1"/>
  <c r="G84" i="12"/>
  <c r="L84" i="12" s="1"/>
  <c r="H86" i="17"/>
  <c r="F84" i="12" l="1"/>
  <c r="E84" i="12"/>
  <c r="N84" i="12"/>
  <c r="M84" i="12"/>
  <c r="I87" i="17"/>
  <c r="G87" i="17"/>
  <c r="D85" i="12" l="1"/>
  <c r="G85" i="12"/>
  <c r="L85" i="12" s="1"/>
  <c r="H87" i="17"/>
  <c r="G88" i="17"/>
  <c r="I88" i="17"/>
  <c r="F85" i="12" l="1"/>
  <c r="E85" i="12"/>
  <c r="N85" i="12"/>
  <c r="M85" i="12"/>
  <c r="H88" i="17"/>
  <c r="D86" i="12" l="1"/>
  <c r="G86" i="12"/>
  <c r="L86" i="12" s="1"/>
  <c r="I89" i="17"/>
  <c r="G89" i="17"/>
  <c r="F86" i="12" l="1"/>
  <c r="E86" i="12"/>
  <c r="N86" i="12"/>
  <c r="M86" i="12"/>
  <c r="H89" i="17"/>
  <c r="G90" i="17"/>
  <c r="I90" i="17"/>
  <c r="D87" i="12" l="1"/>
  <c r="G87" i="12"/>
  <c r="L87" i="12" s="1"/>
  <c r="H90" i="17"/>
  <c r="F87" i="12" l="1"/>
  <c r="E87" i="12"/>
  <c r="N87" i="12"/>
  <c r="M87" i="12"/>
  <c r="I91" i="17"/>
  <c r="G91" i="17"/>
  <c r="D88" i="12" l="1"/>
  <c r="G88" i="12"/>
  <c r="L88" i="12" s="1"/>
  <c r="H91" i="17"/>
  <c r="I92" i="17" s="1"/>
  <c r="G92" i="17"/>
  <c r="E88" i="12" l="1"/>
  <c r="F88" i="12"/>
  <c r="M88" i="12"/>
  <c r="N88" i="12"/>
  <c r="H92" i="17"/>
  <c r="D89" i="12" l="1"/>
  <c r="G89" i="12"/>
  <c r="L89" i="12" s="1"/>
  <c r="I93" i="17"/>
  <c r="G93" i="17"/>
  <c r="E89" i="12" l="1"/>
  <c r="F89" i="12"/>
  <c r="N89" i="12"/>
  <c r="M89" i="12"/>
  <c r="H93" i="17"/>
  <c r="I94" i="17" s="1"/>
  <c r="G94" i="17"/>
  <c r="D90" i="12" l="1"/>
  <c r="G90" i="12"/>
  <c r="L90" i="12" s="1"/>
  <c r="I95" i="17"/>
  <c r="G95" i="17"/>
  <c r="H94" i="17"/>
  <c r="N90" i="12" l="1"/>
  <c r="M90" i="12"/>
  <c r="E90" i="12"/>
  <c r="F90" i="12"/>
  <c r="I96" i="17"/>
  <c r="G96" i="17"/>
  <c r="H95" i="17"/>
  <c r="D91" i="12" l="1"/>
  <c r="G91" i="12"/>
  <c r="L91" i="12" s="1"/>
  <c r="H96" i="17"/>
  <c r="F91" i="12" l="1"/>
  <c r="E91" i="12"/>
  <c r="M91" i="12"/>
  <c r="N91" i="12"/>
  <c r="I97" i="17"/>
  <c r="G97" i="17"/>
  <c r="G92" i="12" l="1"/>
  <c r="L92" i="12" s="1"/>
  <c r="D92" i="12"/>
  <c r="H97" i="17"/>
  <c r="N92" i="12" l="1"/>
  <c r="M92" i="12"/>
  <c r="E92" i="12"/>
  <c r="F92" i="12"/>
  <c r="I98" i="17"/>
  <c r="G98" i="17"/>
  <c r="G93" i="12" l="1"/>
  <c r="L93" i="12" s="1"/>
  <c r="D93" i="12"/>
  <c r="H98" i="17"/>
  <c r="N93" i="12" l="1"/>
  <c r="M93" i="12"/>
  <c r="E93" i="12"/>
  <c r="F93" i="12"/>
  <c r="G99" i="17"/>
  <c r="I99" i="17"/>
  <c r="D94" i="12" l="1"/>
  <c r="G94" i="12"/>
  <c r="L94" i="12" s="1"/>
  <c r="E94" i="12"/>
  <c r="F94" i="12"/>
  <c r="H99" i="17"/>
  <c r="M94" i="12" l="1"/>
  <c r="N94" i="12"/>
  <c r="G95" i="12"/>
  <c r="L95" i="12" s="1"/>
  <c r="D95" i="12"/>
  <c r="I100" i="17"/>
  <c r="G100" i="17"/>
  <c r="E95" i="12" l="1"/>
  <c r="F95" i="12"/>
  <c r="M95" i="12"/>
  <c r="N95" i="12"/>
  <c r="H100" i="17"/>
  <c r="D96" i="12" l="1"/>
  <c r="G96" i="12"/>
  <c r="L96" i="12" s="1"/>
  <c r="I101" i="17"/>
  <c r="G101" i="17"/>
  <c r="F96" i="12" l="1"/>
  <c r="E96" i="12"/>
  <c r="M96" i="12"/>
  <c r="N96" i="12"/>
  <c r="H101" i="17"/>
  <c r="G102" i="17"/>
  <c r="I102" i="17"/>
  <c r="D97" i="12" l="1"/>
  <c r="G97" i="12"/>
  <c r="L97" i="12" s="1"/>
  <c r="H102" i="17"/>
  <c r="F97" i="12" l="1"/>
  <c r="E97" i="12"/>
  <c r="N97" i="12"/>
  <c r="M97" i="12"/>
  <c r="I103" i="17"/>
  <c r="G103" i="17"/>
  <c r="G98" i="12" l="1"/>
  <c r="L98" i="12" s="1"/>
  <c r="D98" i="12"/>
  <c r="H103" i="17"/>
  <c r="E98" i="12" l="1"/>
  <c r="F98" i="12"/>
  <c r="M98" i="12"/>
  <c r="N98" i="12"/>
  <c r="I104" i="17"/>
  <c r="G104" i="17"/>
  <c r="D99" i="12" l="1"/>
  <c r="G99" i="12"/>
  <c r="L99" i="12" s="1"/>
  <c r="H104" i="17"/>
  <c r="G105" i="17"/>
  <c r="I105" i="17"/>
  <c r="F99" i="12" l="1"/>
  <c r="E99" i="12"/>
  <c r="M99" i="12"/>
  <c r="N99" i="12"/>
  <c r="H105" i="17"/>
  <c r="D100" i="12" l="1"/>
  <c r="G100" i="12"/>
  <c r="L100" i="12" s="1"/>
  <c r="I106" i="17"/>
  <c r="G106" i="17"/>
  <c r="E100" i="12" l="1"/>
  <c r="F100" i="12"/>
  <c r="M100" i="12"/>
  <c r="N100" i="12"/>
  <c r="H106" i="17"/>
  <c r="G107" i="17"/>
  <c r="I107" i="17"/>
  <c r="G101" i="12" l="1"/>
  <c r="L101" i="12" s="1"/>
  <c r="D101" i="12"/>
  <c r="H107" i="17"/>
  <c r="F101" i="12" l="1"/>
  <c r="E101" i="12"/>
  <c r="N101" i="12"/>
  <c r="M101" i="12"/>
  <c r="I108" i="17"/>
  <c r="G108" i="17"/>
  <c r="G102" i="12" l="1"/>
  <c r="L102" i="12" s="1"/>
  <c r="D102" i="12"/>
  <c r="H108" i="17"/>
  <c r="G109" i="17"/>
  <c r="I109" i="17"/>
  <c r="M102" i="12" l="1"/>
  <c r="N102" i="12"/>
  <c r="E102" i="12"/>
  <c r="F102" i="12"/>
  <c r="H109" i="17"/>
  <c r="D103" i="12" l="1"/>
  <c r="G103" i="12"/>
  <c r="L103" i="12" s="1"/>
  <c r="I110" i="17"/>
  <c r="G110" i="17"/>
  <c r="F103" i="12" l="1"/>
  <c r="E103" i="12"/>
  <c r="M103" i="12"/>
  <c r="N103" i="12"/>
  <c r="H110" i="17"/>
  <c r="I111" i="17" s="1"/>
  <c r="G111" i="17"/>
  <c r="G104" i="12" l="1"/>
  <c r="L104" i="12" s="1"/>
  <c r="D104" i="12"/>
  <c r="H111" i="17"/>
  <c r="E104" i="12" l="1"/>
  <c r="F104" i="12"/>
  <c r="N104" i="12"/>
  <c r="M104" i="12"/>
  <c r="G112" i="17"/>
  <c r="I112" i="17"/>
  <c r="G105" i="12" l="1"/>
  <c r="L105" i="12" s="1"/>
  <c r="M105" i="12" s="1"/>
  <c r="D105" i="12"/>
  <c r="F105" i="12" s="1"/>
  <c r="N105" i="12"/>
  <c r="E105" i="12"/>
  <c r="H112" i="17"/>
  <c r="I113" i="17" s="1"/>
  <c r="G113" i="17"/>
  <c r="G106" i="12" l="1"/>
  <c r="L106" i="12" s="1"/>
  <c r="D106" i="12"/>
  <c r="I114" i="17"/>
  <c r="G114" i="17"/>
  <c r="H113" i="17"/>
  <c r="N106" i="12" l="1"/>
  <c r="M106" i="12"/>
  <c r="F106" i="12"/>
  <c r="E106" i="12"/>
  <c r="I115" i="17"/>
  <c r="G115" i="17"/>
  <c r="H114" i="17"/>
  <c r="D107" i="12" l="1"/>
  <c r="G107" i="12"/>
  <c r="L107" i="12" s="1"/>
  <c r="I116" i="17"/>
  <c r="H115" i="17"/>
  <c r="G116" i="17" s="1"/>
  <c r="F107" i="12" l="1"/>
  <c r="E107" i="12"/>
  <c r="M107" i="12"/>
  <c r="N107" i="12"/>
  <c r="I117" i="17"/>
  <c r="H116" i="17"/>
  <c r="G117" i="17" s="1"/>
  <c r="D108" i="12" l="1"/>
  <c r="G108" i="12"/>
  <c r="L108" i="12" s="1"/>
  <c r="H117" i="17"/>
  <c r="M108" i="12" l="1"/>
  <c r="N108" i="12"/>
  <c r="F108" i="12"/>
  <c r="E108" i="12"/>
  <c r="G118" i="17"/>
  <c r="I118" i="17"/>
  <c r="G109" i="12" l="1"/>
  <c r="L109" i="12" s="1"/>
  <c r="D109" i="12"/>
  <c r="H118" i="17"/>
  <c r="M109" i="12" l="1"/>
  <c r="N109" i="12"/>
  <c r="F109" i="12"/>
  <c r="E109" i="12"/>
  <c r="G119" i="17"/>
  <c r="I119" i="17"/>
  <c r="G110" i="12" l="1"/>
  <c r="L110" i="12" s="1"/>
  <c r="D110" i="12"/>
  <c r="H119" i="17"/>
  <c r="I120" i="17" s="1"/>
  <c r="G120" i="17"/>
  <c r="F110" i="12" l="1"/>
  <c r="E110" i="12"/>
  <c r="M110" i="12"/>
  <c r="N110" i="12"/>
  <c r="G121" i="17"/>
  <c r="H121" i="17" s="1"/>
  <c r="H120" i="17"/>
  <c r="I121" i="17" s="1"/>
  <c r="G111" i="12" l="1"/>
  <c r="L111" i="12" s="1"/>
  <c r="D111" i="12"/>
  <c r="E111" i="12" l="1"/>
  <c r="F111" i="12"/>
  <c r="M111" i="12"/>
  <c r="N111" i="12"/>
  <c r="D112" i="12" l="1"/>
  <c r="G112" i="12"/>
  <c r="L112" i="12" s="1"/>
  <c r="N112" i="12" l="1"/>
  <c r="M112" i="12"/>
  <c r="E112" i="12"/>
  <c r="F112" i="12"/>
  <c r="G113" i="12" l="1"/>
  <c r="L113" i="12" s="1"/>
  <c r="D113" i="12"/>
  <c r="E113" i="12" l="1"/>
  <c r="F113" i="12"/>
  <c r="N113" i="12"/>
  <c r="M113" i="12"/>
  <c r="D114" i="12" l="1"/>
  <c r="G114" i="12"/>
  <c r="L114" i="12" s="1"/>
  <c r="F114" i="12" l="1"/>
  <c r="E114" i="12"/>
  <c r="M114" i="12"/>
  <c r="N114" i="12"/>
  <c r="D115" i="12" l="1"/>
  <c r="G115" i="12"/>
  <c r="L115" i="12" s="1"/>
  <c r="E115" i="12" l="1"/>
  <c r="F115" i="12"/>
  <c r="N115" i="12"/>
  <c r="M115" i="12"/>
  <c r="G116" i="12" l="1"/>
  <c r="L116" i="12" s="1"/>
  <c r="D116" i="12"/>
  <c r="N116" i="12" l="1"/>
  <c r="M116" i="12"/>
  <c r="E116" i="12"/>
  <c r="G117" i="12" s="1"/>
  <c r="L117" i="12" s="1"/>
  <c r="F116" i="12"/>
  <c r="D117" i="12"/>
  <c r="M117" i="12" l="1"/>
  <c r="N117" i="12"/>
  <c r="F117" i="12"/>
  <c r="E117" i="12"/>
  <c r="G118" i="12"/>
  <c r="L118" i="12" s="1"/>
  <c r="D118" i="12"/>
  <c r="E118" i="12" l="1"/>
  <c r="F118" i="12"/>
  <c r="M118" i="12"/>
  <c r="N118" i="12"/>
  <c r="D119" i="12" l="1"/>
  <c r="G119" i="12"/>
  <c r="L119" i="12" s="1"/>
  <c r="F119" i="12" l="1"/>
  <c r="E119" i="12"/>
  <c r="N119" i="12"/>
  <c r="M119" i="12"/>
  <c r="G120" i="12" l="1"/>
  <c r="L120" i="12" s="1"/>
  <c r="D120" i="12"/>
  <c r="F120" i="12" l="1"/>
  <c r="E120" i="12"/>
  <c r="M120" i="12"/>
  <c r="N120" i="12"/>
  <c r="D121" i="12" l="1"/>
  <c r="G121" i="12"/>
  <c r="L121" i="12" s="1"/>
  <c r="E121" i="12" l="1"/>
  <c r="F121" i="12"/>
  <c r="N121" i="12"/>
  <c r="N122" i="12" s="1"/>
  <c r="M121" i="12"/>
  <c r="M122" i="12" s="1"/>
  <c r="G124" i="12" l="1"/>
  <c r="G122" i="12"/>
  <c r="G129" i="12"/>
  <c r="G123" i="12"/>
  <c r="G125" i="12"/>
  <c r="G130" i="12"/>
  <c r="G128" i="12"/>
  <c r="G131" i="12"/>
  <c r="G133" i="12"/>
  <c r="G132" i="12"/>
  <c r="G127" i="12"/>
  <c r="G12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410A94A5-09F2-4EAF-8973-F09596C264C3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C1" authorId="0" shapeId="0" xr:uid="{58CF1E22-5FE0-4B88-99F1-E4D10A775AD8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D1" authorId="0" shapeId="0" xr:uid="{505D678F-4B28-475D-B654-6EF3FA2BE514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G1" authorId="0" shapeId="0" xr:uid="{FBE59259-646C-411A-B9A2-61D9AB569706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H1" authorId="0" shapeId="0" xr:uid="{39E373C0-7789-41A7-BFAD-9741CF7F8EC3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I1" authorId="0" shapeId="0" xr:uid="{F713DADD-0768-4711-A19C-4C9BDE6AF870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L1" authorId="0" shapeId="0" xr:uid="{E0F872E6-B187-4F5F-A3DA-22BADD8DD96E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  <comment ref="M1" authorId="0" shapeId="0" xr:uid="{D9F58DE5-8978-48DC-B700-77D451C21077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N1" authorId="0" shapeId="0" xr:uid="{80057894-6476-4BD8-A07B-767A40C81198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O1" authorId="0" shapeId="0" xr:uid="{2D7131D2-9AC6-4BC0-8D57-BB60DF7DC448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P1" authorId="0" shapeId="0" xr:uid="{E5EEF3BB-01C8-408C-91E8-9C14FE367F67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Q1" authorId="0" shapeId="0" xr:uid="{70CEA5C3-E745-450B-92BA-1223C0D10957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R1" authorId="0" shapeId="0" xr:uid="{DB380F4E-E44E-4427-9918-514307DCFF1E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S1" authorId="0" shapeId="0" xr:uid="{53189D69-ED43-4DAF-8637-158577B835B6}">
      <text>
        <r>
          <rPr>
            <sz val="9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R149" authorId="0" shapeId="0" xr:uid="{3DC62059-6953-4C96-BFB6-A91CD7B6451F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185" authorId="0" shapeId="0" xr:uid="{1FD34BEC-7408-4FF9-BE56-204B2B25C771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191" authorId="0" shapeId="0" xr:uid="{E2DEC1C7-F68C-48AA-B29A-05E34295AF29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N191" authorId="0" shapeId="0" xr:uid="{F0EC586A-0F97-4924-922F-71E24473C38E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R194" authorId="0" shapeId="0" xr:uid="{D5301DCF-5156-4D51-A388-B8102DE46FDC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215" authorId="0" shapeId="0" xr:uid="{D33233C5-92EE-4B9F-B99E-14DAAD6E0913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O215" authorId="0" shapeId="0" xr:uid="{7285190F-32F3-41DE-A22A-3E09F0266BF7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215" authorId="0" shapeId="0" xr:uid="{C9FBA1B9-9674-4B5F-AF2F-05790DB3C49E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221" authorId="0" shapeId="0" xr:uid="{0CBEBDD1-1A1F-464E-AD74-BFA4B95ECE10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N221" authorId="0" shapeId="0" xr:uid="{F4544717-7D9B-4458-881B-798E2C215FCD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O221" authorId="0" shapeId="0" xr:uid="{9B79AD3D-E3E1-4F94-9525-E0662FFBF19D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221" authorId="0" shapeId="0" xr:uid="{6D81FD98-E16A-42D2-93AD-61967A425F0B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221" authorId="0" shapeId="0" xr:uid="{B30C4EB0-CB69-4B18-AB23-2A30B43B71AE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R221" authorId="0" shapeId="0" xr:uid="{728AE30A-DE52-46DA-A6FB-AC9F70F198E2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S221" authorId="0" shapeId="0" xr:uid="{312B246F-6196-4EF7-B4C4-ADD8DB30B722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260" authorId="0" shapeId="0" xr:uid="{E93A6D85-B1F1-487E-8C07-2445BFEF8C9C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308" authorId="0" shapeId="0" xr:uid="{DAE839D8-8724-4371-A5DF-698653AC8CF9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320" authorId="0" shapeId="0" xr:uid="{D1F7E44C-0420-4467-9BFC-94E009A9DB2F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382" authorId="0" shapeId="0" xr:uid="{A5205A28-9F48-4F31-B1B6-0FBE5982D399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S382" authorId="0" shapeId="0" xr:uid="{2E704ACC-39B8-4713-96C9-8E160818AFAC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N391" authorId="0" shapeId="0" xr:uid="{36796E02-0A1B-44B5-A6BD-3E59B714F071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S391" authorId="0" shapeId="0" xr:uid="{3BD03E97-FE21-46A3-A248-1BD8A1A31774}">
      <text>
        <r>
          <rPr>
            <sz val="9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M456" authorId="0" shapeId="0" xr:uid="{410297A9-48C5-4704-B005-5DF93FAE274D}">
      <text>
        <r>
          <rPr>
            <sz val="9"/>
            <color indexed="81"/>
            <rFont val="Tahoma"/>
            <family val="2"/>
          </rPr>
          <t>not available</t>
        </r>
      </text>
    </comment>
    <comment ref="N456" authorId="0" shapeId="0" xr:uid="{F1E38FEA-5645-450E-A591-B822207ED22B}">
      <text>
        <r>
          <rPr>
            <sz val="9"/>
            <color indexed="81"/>
            <rFont val="Tahoma"/>
            <family val="2"/>
          </rPr>
          <t>not available</t>
        </r>
      </text>
    </comment>
    <comment ref="O456" authorId="0" shapeId="0" xr:uid="{CA42A643-2FBE-47DF-A577-FD64CD6A169F}">
      <text>
        <r>
          <rPr>
            <sz val="9"/>
            <color indexed="81"/>
            <rFont val="Tahoma"/>
            <family val="2"/>
          </rPr>
          <t>not available</t>
        </r>
      </text>
    </comment>
    <comment ref="P456" authorId="0" shapeId="0" xr:uid="{A5996991-CE6A-475D-B8BB-7700958098F4}">
      <text>
        <r>
          <rPr>
            <sz val="9"/>
            <color indexed="81"/>
            <rFont val="Tahoma"/>
            <family val="2"/>
          </rPr>
          <t>not available</t>
        </r>
      </text>
    </comment>
    <comment ref="Q456" authorId="0" shapeId="0" xr:uid="{0F142AE6-AB44-48E0-9E82-31A2A68E9EF9}">
      <text>
        <r>
          <rPr>
            <sz val="9"/>
            <color indexed="81"/>
            <rFont val="Tahoma"/>
            <family val="2"/>
          </rPr>
          <t>not available</t>
        </r>
      </text>
    </comment>
    <comment ref="R456" authorId="0" shapeId="0" xr:uid="{DAEA6176-BBD0-434E-86A2-3C5436D22454}">
      <text>
        <r>
          <rPr>
            <sz val="9"/>
            <color indexed="81"/>
            <rFont val="Tahoma"/>
            <family val="2"/>
          </rPr>
          <t>not available</t>
        </r>
      </text>
    </comment>
    <comment ref="S456" authorId="0" shapeId="0" xr:uid="{098EE2BE-FB78-45A3-9E7B-88AC9D51CB5D}">
      <text>
        <r>
          <rPr>
            <sz val="9"/>
            <color indexed="81"/>
            <rFont val="Tahoma"/>
            <family val="2"/>
          </rPr>
          <t>not available</t>
        </r>
      </text>
    </comment>
    <comment ref="M457" authorId="0" shapeId="0" xr:uid="{6433FE47-F0EE-4D6E-87B9-695DE9738BAC}">
      <text>
        <r>
          <rPr>
            <sz val="9"/>
            <color indexed="81"/>
            <rFont val="Tahoma"/>
            <family val="2"/>
          </rPr>
          <t>not available</t>
        </r>
      </text>
    </comment>
    <comment ref="N457" authorId="0" shapeId="0" xr:uid="{534395AF-193C-4A16-A69D-3589A51074D2}">
      <text>
        <r>
          <rPr>
            <sz val="9"/>
            <color indexed="81"/>
            <rFont val="Tahoma"/>
            <family val="2"/>
          </rPr>
          <t>not available</t>
        </r>
      </text>
    </comment>
    <comment ref="O457" authorId="0" shapeId="0" xr:uid="{9456C0CD-EF74-481D-A04C-EC2CE1DBA641}">
      <text>
        <r>
          <rPr>
            <sz val="9"/>
            <color indexed="81"/>
            <rFont val="Tahoma"/>
            <family val="2"/>
          </rPr>
          <t>not available</t>
        </r>
      </text>
    </comment>
    <comment ref="P457" authorId="0" shapeId="0" xr:uid="{92F89A97-F3B5-4D3F-AE8B-77109BC9EF7A}">
      <text>
        <r>
          <rPr>
            <sz val="9"/>
            <color indexed="81"/>
            <rFont val="Tahoma"/>
            <family val="2"/>
          </rPr>
          <t>not available</t>
        </r>
      </text>
    </comment>
    <comment ref="Q457" authorId="0" shapeId="0" xr:uid="{AC50D0EA-FBFE-4F1F-B490-22A527583737}">
      <text>
        <r>
          <rPr>
            <sz val="9"/>
            <color indexed="81"/>
            <rFont val="Tahoma"/>
            <family val="2"/>
          </rPr>
          <t>not available</t>
        </r>
      </text>
    </comment>
    <comment ref="R457" authorId="0" shapeId="0" xr:uid="{9412ACBB-15AE-4B16-B865-EFF6CEC1EF16}">
      <text>
        <r>
          <rPr>
            <sz val="9"/>
            <color indexed="81"/>
            <rFont val="Tahoma"/>
            <family val="2"/>
          </rPr>
          <t>not available</t>
        </r>
      </text>
    </comment>
    <comment ref="S457" authorId="0" shapeId="0" xr:uid="{89DA1EC8-A422-499F-8166-9D30C2F8ADC6}">
      <text>
        <r>
          <rPr>
            <sz val="9"/>
            <color indexed="81"/>
            <rFont val="Tahoma"/>
            <family val="2"/>
          </rPr>
          <t>not available</t>
        </r>
      </text>
    </comment>
    <comment ref="M458" authorId="0" shapeId="0" xr:uid="{3155EBED-6D48-497A-9760-471193FD4C61}">
      <text>
        <r>
          <rPr>
            <sz val="9"/>
            <color indexed="81"/>
            <rFont val="Tahoma"/>
            <family val="2"/>
          </rPr>
          <t>not available</t>
        </r>
      </text>
    </comment>
    <comment ref="N458" authorId="0" shapeId="0" xr:uid="{F5D1B527-840C-4CCC-97EE-68FD76A0493A}">
      <text>
        <r>
          <rPr>
            <sz val="9"/>
            <color indexed="81"/>
            <rFont val="Tahoma"/>
            <family val="2"/>
          </rPr>
          <t>not available</t>
        </r>
      </text>
    </comment>
    <comment ref="O458" authorId="0" shapeId="0" xr:uid="{72F412F2-AE12-4733-B4D6-5F3DC6C01459}">
      <text>
        <r>
          <rPr>
            <sz val="9"/>
            <color indexed="81"/>
            <rFont val="Tahoma"/>
            <family val="2"/>
          </rPr>
          <t>not available</t>
        </r>
      </text>
    </comment>
    <comment ref="P458" authorId="0" shapeId="0" xr:uid="{43DBBFE6-6CB6-49F7-8044-D5840081C666}">
      <text>
        <r>
          <rPr>
            <sz val="9"/>
            <color indexed="81"/>
            <rFont val="Tahoma"/>
            <family val="2"/>
          </rPr>
          <t>not available</t>
        </r>
      </text>
    </comment>
    <comment ref="Q458" authorId="0" shapeId="0" xr:uid="{1DDC1776-D903-4695-BA42-DDF7EE5B1161}">
      <text>
        <r>
          <rPr>
            <sz val="9"/>
            <color indexed="81"/>
            <rFont val="Tahoma"/>
            <family val="2"/>
          </rPr>
          <t>not available</t>
        </r>
      </text>
    </comment>
    <comment ref="R458" authorId="0" shapeId="0" xr:uid="{D748F084-A96F-43FE-933A-C810F2C5D2FC}">
      <text>
        <r>
          <rPr>
            <sz val="9"/>
            <color indexed="81"/>
            <rFont val="Tahoma"/>
            <family val="2"/>
          </rPr>
          <t>not available</t>
        </r>
      </text>
    </comment>
    <comment ref="S458" authorId="0" shapeId="0" xr:uid="{6BEEFA2B-791C-4972-A07D-A4F60F2019C1}">
      <text>
        <r>
          <rPr>
            <sz val="9"/>
            <color indexed="81"/>
            <rFont val="Tahoma"/>
            <family val="2"/>
          </rPr>
          <t>not available</t>
        </r>
      </text>
    </comment>
    <comment ref="M459" authorId="0" shapeId="0" xr:uid="{DB0DCCD8-AB3C-4DE0-B373-E0F93AA937A5}">
      <text>
        <r>
          <rPr>
            <sz val="9"/>
            <color indexed="81"/>
            <rFont val="Tahoma"/>
            <family val="2"/>
          </rPr>
          <t>not available</t>
        </r>
      </text>
    </comment>
    <comment ref="N459" authorId="0" shapeId="0" xr:uid="{49708678-6638-40AD-ACA4-13DCDF828E4F}">
      <text>
        <r>
          <rPr>
            <sz val="9"/>
            <color indexed="81"/>
            <rFont val="Tahoma"/>
            <family val="2"/>
          </rPr>
          <t>not available</t>
        </r>
      </text>
    </comment>
    <comment ref="O459" authorId="0" shapeId="0" xr:uid="{EC6D9259-3914-4C3A-90C6-1971C2FB2FB5}">
      <text>
        <r>
          <rPr>
            <sz val="9"/>
            <color indexed="81"/>
            <rFont val="Tahoma"/>
            <family val="2"/>
          </rPr>
          <t>not available</t>
        </r>
      </text>
    </comment>
    <comment ref="P459" authorId="0" shapeId="0" xr:uid="{8D6526A1-4DC8-40BB-A0C9-C13C683B6365}">
      <text>
        <r>
          <rPr>
            <sz val="9"/>
            <color indexed="81"/>
            <rFont val="Tahoma"/>
            <family val="2"/>
          </rPr>
          <t>not available</t>
        </r>
      </text>
    </comment>
    <comment ref="Q459" authorId="0" shapeId="0" xr:uid="{FC278E2B-E730-4707-B3A8-BDA0B723E6D7}">
      <text>
        <r>
          <rPr>
            <sz val="9"/>
            <color indexed="81"/>
            <rFont val="Tahoma"/>
            <family val="2"/>
          </rPr>
          <t>not available</t>
        </r>
      </text>
    </comment>
    <comment ref="R459" authorId="0" shapeId="0" xr:uid="{9C25287D-78B6-4BA5-B02B-A0CB7AE870AE}">
      <text>
        <r>
          <rPr>
            <sz val="9"/>
            <color indexed="81"/>
            <rFont val="Tahoma"/>
            <family val="2"/>
          </rPr>
          <t>not available</t>
        </r>
      </text>
    </comment>
    <comment ref="S459" authorId="0" shapeId="0" xr:uid="{ED2DB6F9-CE93-4C19-9C1C-E3AA16AD9EBF}">
      <text>
        <r>
          <rPr>
            <sz val="9"/>
            <color indexed="81"/>
            <rFont val="Tahoma"/>
            <family val="2"/>
          </rPr>
          <t>not available</t>
        </r>
      </text>
    </comment>
    <comment ref="M460" authorId="0" shapeId="0" xr:uid="{64C3EF4A-C40D-44DF-85EE-350001AC3A35}">
      <text>
        <r>
          <rPr>
            <sz val="9"/>
            <color indexed="81"/>
            <rFont val="Tahoma"/>
            <family val="2"/>
          </rPr>
          <t>not available</t>
        </r>
      </text>
    </comment>
    <comment ref="N460" authorId="0" shapeId="0" xr:uid="{D09A8FCA-B267-4BD7-8D60-FADFD8905A3B}">
      <text>
        <r>
          <rPr>
            <sz val="9"/>
            <color indexed="81"/>
            <rFont val="Tahoma"/>
            <family val="2"/>
          </rPr>
          <t>not available</t>
        </r>
      </text>
    </comment>
    <comment ref="O460" authorId="0" shapeId="0" xr:uid="{BA5BEC89-E1B0-43ED-AC32-35B1AE652CA4}">
      <text>
        <r>
          <rPr>
            <sz val="9"/>
            <color indexed="81"/>
            <rFont val="Tahoma"/>
            <family val="2"/>
          </rPr>
          <t>not available</t>
        </r>
      </text>
    </comment>
    <comment ref="P460" authorId="0" shapeId="0" xr:uid="{82AD34E4-2A4C-4B3D-93CC-D97B0AEF6520}">
      <text>
        <r>
          <rPr>
            <sz val="9"/>
            <color indexed="81"/>
            <rFont val="Tahoma"/>
            <family val="2"/>
          </rPr>
          <t>not available</t>
        </r>
      </text>
    </comment>
    <comment ref="Q460" authorId="0" shapeId="0" xr:uid="{DCF48B41-2052-475F-BFBA-62BAC9871E58}">
      <text>
        <r>
          <rPr>
            <sz val="9"/>
            <color indexed="81"/>
            <rFont val="Tahoma"/>
            <family val="2"/>
          </rPr>
          <t>not available</t>
        </r>
      </text>
    </comment>
    <comment ref="R460" authorId="0" shapeId="0" xr:uid="{CDD88DA1-68A0-41FE-A38A-0E7CE73FA686}">
      <text>
        <r>
          <rPr>
            <sz val="9"/>
            <color indexed="81"/>
            <rFont val="Tahoma"/>
            <family val="2"/>
          </rPr>
          <t>not available</t>
        </r>
      </text>
    </comment>
    <comment ref="S460" authorId="0" shapeId="0" xr:uid="{0389D115-3847-4355-9064-352AD2350007}">
      <text>
        <r>
          <rPr>
            <sz val="9"/>
            <color indexed="81"/>
            <rFont val="Tahoma"/>
            <family val="2"/>
          </rPr>
          <t>not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C1" authorId="0" shapeId="0" xr:uid="{00000000-0006-0000-0100-000001000000}">
      <text>
        <r>
          <rPr>
            <sz val="9"/>
            <color indexed="8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sharedStrings.xml><?xml version="1.0" encoding="utf-8"?>
<sst xmlns="http://schemas.openxmlformats.org/spreadsheetml/2006/main" count="69" uniqueCount="53">
  <si>
    <t>Trend</t>
  </si>
  <si>
    <t>Forecast</t>
  </si>
  <si>
    <t>Level</t>
  </si>
  <si>
    <t>Date</t>
  </si>
  <si>
    <t>MAE</t>
  </si>
  <si>
    <t>MSE</t>
  </si>
  <si>
    <t>RMSE</t>
  </si>
  <si>
    <t>Time</t>
  </si>
  <si>
    <t>alpha</t>
  </si>
  <si>
    <t>beta</t>
  </si>
  <si>
    <t>gamma</t>
  </si>
  <si>
    <t>error</t>
  </si>
  <si>
    <t>Abserr</t>
  </si>
  <si>
    <t>SqErr</t>
  </si>
  <si>
    <t>Year 2</t>
  </si>
  <si>
    <t>Y2-Y1</t>
  </si>
  <si>
    <t>(Y2-Y1)/12</t>
  </si>
  <si>
    <t>Year 1</t>
  </si>
  <si>
    <t>Initial trend</t>
  </si>
  <si>
    <t xml:space="preserve">Turnover </t>
  </si>
  <si>
    <t>m</t>
  </si>
  <si>
    <t>Turnover</t>
  </si>
  <si>
    <t>Initital trend calculation</t>
  </si>
  <si>
    <t>Seasonal</t>
  </si>
  <si>
    <t>Sales</t>
  </si>
  <si>
    <t>12MA</t>
  </si>
  <si>
    <t>centred MA</t>
  </si>
  <si>
    <t>seas relatives</t>
  </si>
  <si>
    <t>seas index</t>
  </si>
  <si>
    <t>deseas</t>
  </si>
  <si>
    <t>trend line values</t>
  </si>
  <si>
    <t>predictions</t>
  </si>
  <si>
    <t>Error</t>
  </si>
  <si>
    <t>AbsErr</t>
  </si>
  <si>
    <t>drag trend projection values</t>
  </si>
  <si>
    <t>up to fill column</t>
  </si>
  <si>
    <t>trend projection</t>
  </si>
  <si>
    <t>NOTE</t>
  </si>
  <si>
    <t>The trend column is created by:</t>
  </si>
  <si>
    <t>. Running a regression of the deseasonalised data vs t</t>
  </si>
  <si>
    <t>. Using the equation to generate the trend</t>
  </si>
  <si>
    <t>. The column is inserted here without the working</t>
  </si>
  <si>
    <t>. We are doing this step in the live lecture</t>
  </si>
  <si>
    <t>. Then you can drag the formula down</t>
  </si>
  <si>
    <t>forecasts</t>
  </si>
  <si>
    <t>Average</t>
  </si>
  <si>
    <t>MA(4)</t>
  </si>
  <si>
    <t>Naïve</t>
  </si>
  <si>
    <t>Holt's</t>
  </si>
  <si>
    <t>Abs Error</t>
  </si>
  <si>
    <t>Sq Error</t>
  </si>
  <si>
    <t>* down by a row</t>
  </si>
  <si>
    <t>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</si>
</sst>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-yyyy"/>
    <numFmt numFmtId="165" formatCode="0.0;\-0.0;0.0;@"/>
    <numFmt numFmtId="166" formatCode="0.00;\-0.00;0.00;@"/>
    <numFmt numFmtId="167" formatCode="0.00000"/>
    <numFmt numFmtId="168" formatCode="0.0000"/>
    <numFmt numFmtId="169" formatCode="0.0000;\-0.0000;0.0000;@"/>
    <numFmt numFmtId="174" formatCode="0.000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9" tint="-0.499984740745262"/>
      <name val="Arial"/>
      <family val="2"/>
    </font>
    <font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 applyAlignment="1">
      <alignment horizontal="left"/>
    </xf>
    <xf numFmtId="166" fontId="5" fillId="0" borderId="0" xfId="0" applyNumberFormat="1" applyFont="1"/>
    <xf numFmtId="16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166" fontId="5" fillId="3" borderId="0" xfId="0" applyNumberFormat="1" applyFont="1" applyFill="1"/>
    <xf numFmtId="0" fontId="3" fillId="0" borderId="0" xfId="0" applyFont="1"/>
    <xf numFmtId="0" fontId="5" fillId="4" borderId="0" xfId="0" applyFont="1" applyFill="1" applyAlignment="1">
      <alignment wrapText="1"/>
    </xf>
    <xf numFmtId="165" fontId="5" fillId="4" borderId="0" xfId="0" applyNumberFormat="1" applyFont="1" applyFill="1"/>
    <xf numFmtId="169" fontId="5" fillId="4" borderId="0" xfId="0" applyNumberFormat="1" applyFont="1" applyFill="1"/>
    <xf numFmtId="165" fontId="6" fillId="0" borderId="0" xfId="0" applyNumberFormat="1" applyFont="1"/>
    <xf numFmtId="168" fontId="5" fillId="4" borderId="0" xfId="0" applyNumberFormat="1" applyFont="1" applyFill="1" applyAlignment="1">
      <alignment horizontal="right" wrapText="1"/>
    </xf>
    <xf numFmtId="0" fontId="7" fillId="5" borderId="0" xfId="0" applyFont="1" applyFill="1"/>
    <xf numFmtId="0" fontId="7" fillId="6" borderId="0" xfId="0" applyFont="1" applyFill="1"/>
    <xf numFmtId="17" fontId="7" fillId="7" borderId="0" xfId="0" applyNumberFormat="1" applyFont="1" applyFill="1"/>
    <xf numFmtId="0" fontId="7" fillId="7" borderId="0" xfId="0" applyFont="1" applyFill="1"/>
    <xf numFmtId="2" fontId="0" fillId="8" borderId="0" xfId="0" applyNumberFormat="1" applyFill="1"/>
    <xf numFmtId="167" fontId="0" fillId="0" borderId="0" xfId="0" applyNumberFormat="1"/>
    <xf numFmtId="168" fontId="7" fillId="9" borderId="0" xfId="0" applyNumberFormat="1" applyFont="1" applyFill="1"/>
    <xf numFmtId="0" fontId="4" fillId="0" borderId="0" xfId="0" applyFont="1"/>
    <xf numFmtId="0" fontId="0" fillId="10" borderId="0" xfId="0" applyFill="1"/>
    <xf numFmtId="1" fontId="8" fillId="10" borderId="0" xfId="0" applyNumberFormat="1" applyFont="1" applyFill="1"/>
    <xf numFmtId="0" fontId="0" fillId="7" borderId="0" xfId="0" applyFill="1"/>
    <xf numFmtId="0" fontId="0" fillId="8" borderId="0" xfId="0" applyFill="1"/>
    <xf numFmtId="2" fontId="9" fillId="0" borderId="0" xfId="0" applyNumberFormat="1" applyFont="1"/>
    <xf numFmtId="2" fontId="8" fillId="10" borderId="0" xfId="0" applyNumberFormat="1" applyFont="1" applyFill="1"/>
    <xf numFmtId="0" fontId="0" fillId="11" borderId="0" xfId="0" applyFill="1"/>
    <xf numFmtId="0" fontId="7" fillId="10" borderId="0" xfId="0" applyFont="1" applyFill="1"/>
    <xf numFmtId="2" fontId="8" fillId="7" borderId="0" xfId="0" applyNumberFormat="1" applyFont="1" applyFill="1"/>
    <xf numFmtId="0" fontId="0" fillId="12" borderId="0" xfId="0" applyFill="1"/>
    <xf numFmtId="166" fontId="5" fillId="0" borderId="0" xfId="0" applyNumberFormat="1" applyFont="1" applyFill="1"/>
    <xf numFmtId="174" fontId="0" fillId="0" borderId="0" xfId="0" applyNumberFormat="1"/>
    <xf numFmtId="2" fontId="0" fillId="12" borderId="0" xfId="0" applyNumberFormat="1" applyFill="1"/>
    <xf numFmtId="174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'DeSeas Turnover'!$B$2:$B$121</c:f>
              <c:numCache>
                <c:formatCode>0.00;\-0.00;0.00;@</c:formatCode>
                <c:ptCount val="120"/>
                <c:pt idx="0">
                  <c:v>7956.2</c:v>
                </c:pt>
                <c:pt idx="1">
                  <c:v>7858</c:v>
                </c:pt>
                <c:pt idx="2">
                  <c:v>7919.2</c:v>
                </c:pt>
                <c:pt idx="3">
                  <c:v>8052.1</c:v>
                </c:pt>
                <c:pt idx="4">
                  <c:v>8066.3</c:v>
                </c:pt>
                <c:pt idx="5">
                  <c:v>8066.7</c:v>
                </c:pt>
                <c:pt idx="6">
                  <c:v>8086.2</c:v>
                </c:pt>
                <c:pt idx="7">
                  <c:v>8052.4</c:v>
                </c:pt>
                <c:pt idx="8">
                  <c:v>8044.4</c:v>
                </c:pt>
                <c:pt idx="9">
                  <c:v>8077.6</c:v>
                </c:pt>
                <c:pt idx="10">
                  <c:v>8113.3</c:v>
                </c:pt>
                <c:pt idx="11">
                  <c:v>8123.7</c:v>
                </c:pt>
                <c:pt idx="12">
                  <c:v>8275.1</c:v>
                </c:pt>
                <c:pt idx="13">
                  <c:v>8297.1</c:v>
                </c:pt>
                <c:pt idx="14">
                  <c:v>8255.2000000000007</c:v>
                </c:pt>
                <c:pt idx="15">
                  <c:v>8292.6</c:v>
                </c:pt>
                <c:pt idx="16">
                  <c:v>8311</c:v>
                </c:pt>
                <c:pt idx="17">
                  <c:v>8334.5</c:v>
                </c:pt>
                <c:pt idx="18">
                  <c:v>8430</c:v>
                </c:pt>
                <c:pt idx="19">
                  <c:v>8463.2999999999993</c:v>
                </c:pt>
                <c:pt idx="20">
                  <c:v>8438.5</c:v>
                </c:pt>
                <c:pt idx="21">
                  <c:v>8452.2000000000007</c:v>
                </c:pt>
                <c:pt idx="22">
                  <c:v>8510.5</c:v>
                </c:pt>
                <c:pt idx="23">
                  <c:v>8477.6</c:v>
                </c:pt>
                <c:pt idx="24">
                  <c:v>8477.7000000000007</c:v>
                </c:pt>
                <c:pt idx="25">
                  <c:v>8513.9</c:v>
                </c:pt>
                <c:pt idx="26">
                  <c:v>8582.2000000000007</c:v>
                </c:pt>
                <c:pt idx="27">
                  <c:v>8610.2000000000007</c:v>
                </c:pt>
                <c:pt idx="28">
                  <c:v>8637.7000000000007</c:v>
                </c:pt>
                <c:pt idx="29">
                  <c:v>8731.7000000000007</c:v>
                </c:pt>
                <c:pt idx="30">
                  <c:v>8746.5</c:v>
                </c:pt>
                <c:pt idx="31">
                  <c:v>8765.1</c:v>
                </c:pt>
                <c:pt idx="32">
                  <c:v>8812.7999999999993</c:v>
                </c:pt>
                <c:pt idx="33">
                  <c:v>8874.4</c:v>
                </c:pt>
                <c:pt idx="34">
                  <c:v>8859.5</c:v>
                </c:pt>
                <c:pt idx="35">
                  <c:v>8842.7000000000007</c:v>
                </c:pt>
                <c:pt idx="36">
                  <c:v>8933.2000000000007</c:v>
                </c:pt>
                <c:pt idx="37">
                  <c:v>8972.1</c:v>
                </c:pt>
                <c:pt idx="38">
                  <c:v>9022.5</c:v>
                </c:pt>
                <c:pt idx="39">
                  <c:v>9008.4</c:v>
                </c:pt>
                <c:pt idx="40">
                  <c:v>9009.7000000000007</c:v>
                </c:pt>
                <c:pt idx="41">
                  <c:v>9028.2999999999993</c:v>
                </c:pt>
                <c:pt idx="42">
                  <c:v>9099.2000000000007</c:v>
                </c:pt>
                <c:pt idx="43">
                  <c:v>9130.9</c:v>
                </c:pt>
                <c:pt idx="44">
                  <c:v>9143.7000000000007</c:v>
                </c:pt>
                <c:pt idx="45">
                  <c:v>9156.4</c:v>
                </c:pt>
                <c:pt idx="46">
                  <c:v>9158.7999999999993</c:v>
                </c:pt>
                <c:pt idx="47">
                  <c:v>9412</c:v>
                </c:pt>
                <c:pt idx="48">
                  <c:v>9506.4</c:v>
                </c:pt>
                <c:pt idx="49">
                  <c:v>9413.9</c:v>
                </c:pt>
                <c:pt idx="50">
                  <c:v>9453.9</c:v>
                </c:pt>
                <c:pt idx="51">
                  <c:v>9458.2999999999993</c:v>
                </c:pt>
                <c:pt idx="52">
                  <c:v>9495.9</c:v>
                </c:pt>
                <c:pt idx="53">
                  <c:v>9569.2000000000007</c:v>
                </c:pt>
                <c:pt idx="54">
                  <c:v>9604.9</c:v>
                </c:pt>
                <c:pt idx="55">
                  <c:v>9645.7000000000007</c:v>
                </c:pt>
                <c:pt idx="56">
                  <c:v>9674.7999999999993</c:v>
                </c:pt>
                <c:pt idx="57">
                  <c:v>9705.2000000000007</c:v>
                </c:pt>
                <c:pt idx="58">
                  <c:v>9742.9</c:v>
                </c:pt>
                <c:pt idx="59">
                  <c:v>9733.1</c:v>
                </c:pt>
                <c:pt idx="60">
                  <c:v>9724.7000000000007</c:v>
                </c:pt>
                <c:pt idx="61">
                  <c:v>9801.1</c:v>
                </c:pt>
                <c:pt idx="62">
                  <c:v>9798.2999999999993</c:v>
                </c:pt>
                <c:pt idx="63">
                  <c:v>9813.7000000000007</c:v>
                </c:pt>
                <c:pt idx="64">
                  <c:v>9867.7000000000007</c:v>
                </c:pt>
                <c:pt idx="65">
                  <c:v>9894.4</c:v>
                </c:pt>
                <c:pt idx="66">
                  <c:v>9886.4</c:v>
                </c:pt>
                <c:pt idx="67">
                  <c:v>9923</c:v>
                </c:pt>
                <c:pt idx="68">
                  <c:v>9942.5</c:v>
                </c:pt>
                <c:pt idx="69">
                  <c:v>10013.5</c:v>
                </c:pt>
                <c:pt idx="70">
                  <c:v>10038.299999999999</c:v>
                </c:pt>
                <c:pt idx="71">
                  <c:v>10057.9</c:v>
                </c:pt>
                <c:pt idx="72">
                  <c:v>10054.9</c:v>
                </c:pt>
                <c:pt idx="73">
                  <c:v>10041.5</c:v>
                </c:pt>
                <c:pt idx="74">
                  <c:v>10082</c:v>
                </c:pt>
                <c:pt idx="75">
                  <c:v>10035.9</c:v>
                </c:pt>
                <c:pt idx="76">
                  <c:v>10091.6</c:v>
                </c:pt>
                <c:pt idx="77">
                  <c:v>10101.200000000001</c:v>
                </c:pt>
                <c:pt idx="78">
                  <c:v>10114</c:v>
                </c:pt>
                <c:pt idx="79">
                  <c:v>10213.9</c:v>
                </c:pt>
                <c:pt idx="80">
                  <c:v>10264.4</c:v>
                </c:pt>
                <c:pt idx="81">
                  <c:v>10265.9</c:v>
                </c:pt>
                <c:pt idx="82">
                  <c:v>10342.700000000001</c:v>
                </c:pt>
                <c:pt idx="83">
                  <c:v>10351.799999999999</c:v>
                </c:pt>
                <c:pt idx="84">
                  <c:v>10394.4</c:v>
                </c:pt>
                <c:pt idx="85">
                  <c:v>10402.200000000001</c:v>
                </c:pt>
                <c:pt idx="86">
                  <c:v>10371.299999999999</c:v>
                </c:pt>
                <c:pt idx="87">
                  <c:v>10434.200000000001</c:v>
                </c:pt>
                <c:pt idx="88">
                  <c:v>10458.799999999999</c:v>
                </c:pt>
                <c:pt idx="89">
                  <c:v>10477.9</c:v>
                </c:pt>
                <c:pt idx="90">
                  <c:v>10493.5</c:v>
                </c:pt>
                <c:pt idx="91">
                  <c:v>10462.799999999999</c:v>
                </c:pt>
                <c:pt idx="92">
                  <c:v>10548.3</c:v>
                </c:pt>
                <c:pt idx="93">
                  <c:v>10574.4</c:v>
                </c:pt>
                <c:pt idx="94">
                  <c:v>10573</c:v>
                </c:pt>
                <c:pt idx="95">
                  <c:v>10662.2</c:v>
                </c:pt>
                <c:pt idx="96">
                  <c:v>10658</c:v>
                </c:pt>
                <c:pt idx="97">
                  <c:v>10674.7</c:v>
                </c:pt>
                <c:pt idx="98">
                  <c:v>10771.8</c:v>
                </c:pt>
                <c:pt idx="99">
                  <c:v>10821.2</c:v>
                </c:pt>
                <c:pt idx="100">
                  <c:v>10851.5</c:v>
                </c:pt>
                <c:pt idx="101">
                  <c:v>10896.4</c:v>
                </c:pt>
                <c:pt idx="102">
                  <c:v>10926.6</c:v>
                </c:pt>
                <c:pt idx="103">
                  <c:v>10937.9</c:v>
                </c:pt>
                <c:pt idx="104">
                  <c:v>10976.2</c:v>
                </c:pt>
                <c:pt idx="105">
                  <c:v>10990</c:v>
                </c:pt>
                <c:pt idx="106">
                  <c:v>11019</c:v>
                </c:pt>
                <c:pt idx="107">
                  <c:v>11073.2</c:v>
                </c:pt>
                <c:pt idx="108">
                  <c:v>11112.5</c:v>
                </c:pt>
                <c:pt idx="109">
                  <c:v>11197.5</c:v>
                </c:pt>
                <c:pt idx="110">
                  <c:v>11257.5</c:v>
                </c:pt>
                <c:pt idx="111">
                  <c:v>11252.6</c:v>
                </c:pt>
                <c:pt idx="112">
                  <c:v>11230.1</c:v>
                </c:pt>
                <c:pt idx="113">
                  <c:v>11224.3</c:v>
                </c:pt>
                <c:pt idx="114">
                  <c:v>11269.3</c:v>
                </c:pt>
                <c:pt idx="115">
                  <c:v>11305.5</c:v>
                </c:pt>
                <c:pt idx="116">
                  <c:v>11331.9</c:v>
                </c:pt>
                <c:pt idx="117">
                  <c:v>11348.6</c:v>
                </c:pt>
                <c:pt idx="118">
                  <c:v>11418.2</c:v>
                </c:pt>
                <c:pt idx="119">
                  <c:v>11377.4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D-4F6C-AE5B-9F1CEF09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85824"/>
        <c:axId val="119687744"/>
      </c:lineChart>
      <c:catAx>
        <c:axId val="11968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7744"/>
        <c:crosses val="autoZero"/>
        <c:auto val="1"/>
        <c:lblAlgn val="ctr"/>
        <c:lblOffset val="100"/>
        <c:noMultiLvlLbl val="0"/>
      </c:catAx>
      <c:valAx>
        <c:axId val="1196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\-0.00;0.0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Turnover'!$C$1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Turnover'!$B$2:$B$121</c:f>
              <c:numCache>
                <c:formatCode>mmm\-yyyy</c:formatCode>
                <c:ptCount val="120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</c:numCache>
            </c:numRef>
          </c:cat>
          <c:val>
            <c:numRef>
              <c:f>'Raw Turnover'!$C$2:$C$133</c:f>
              <c:numCache>
                <c:formatCode>0.0;\-0.0;0.0;@</c:formatCode>
                <c:ptCount val="132"/>
                <c:pt idx="0">
                  <c:v>8093.4</c:v>
                </c:pt>
                <c:pt idx="1">
                  <c:v>7243.1</c:v>
                </c:pt>
                <c:pt idx="2">
                  <c:v>8017.8</c:v>
                </c:pt>
                <c:pt idx="3">
                  <c:v>7835.6</c:v>
                </c:pt>
                <c:pt idx="4">
                  <c:v>7887.6</c:v>
                </c:pt>
                <c:pt idx="5">
                  <c:v>7527.9</c:v>
                </c:pt>
                <c:pt idx="6">
                  <c:v>8044.4</c:v>
                </c:pt>
                <c:pt idx="7">
                  <c:v>7924.7</c:v>
                </c:pt>
                <c:pt idx="8">
                  <c:v>7855.4</c:v>
                </c:pt>
                <c:pt idx="9">
                  <c:v>8239.5</c:v>
                </c:pt>
                <c:pt idx="10">
                  <c:v>8288.1</c:v>
                </c:pt>
                <c:pt idx="11">
                  <c:v>9491.7999999999993</c:v>
                </c:pt>
                <c:pt idx="12">
                  <c:v>8403.6</c:v>
                </c:pt>
                <c:pt idx="13">
                  <c:v>7649.6</c:v>
                </c:pt>
                <c:pt idx="14">
                  <c:v>8285</c:v>
                </c:pt>
                <c:pt idx="15">
                  <c:v>8211.2999999999993</c:v>
                </c:pt>
                <c:pt idx="16">
                  <c:v>8059</c:v>
                </c:pt>
                <c:pt idx="17">
                  <c:v>7878.3</c:v>
                </c:pt>
                <c:pt idx="18">
                  <c:v>8315.2000000000007</c:v>
                </c:pt>
                <c:pt idx="19">
                  <c:v>8360.2999999999993</c:v>
                </c:pt>
                <c:pt idx="20">
                  <c:v>8274.2000000000007</c:v>
                </c:pt>
                <c:pt idx="21">
                  <c:v>8606.2999999999993</c:v>
                </c:pt>
                <c:pt idx="22">
                  <c:v>8569.9</c:v>
                </c:pt>
                <c:pt idx="23">
                  <c:v>9936</c:v>
                </c:pt>
                <c:pt idx="24">
                  <c:v>8534.7999999999993</c:v>
                </c:pt>
                <c:pt idx="25">
                  <c:v>8119.1</c:v>
                </c:pt>
                <c:pt idx="26">
                  <c:v>8736.6</c:v>
                </c:pt>
                <c:pt idx="27">
                  <c:v>8399.2000000000007</c:v>
                </c:pt>
                <c:pt idx="28">
                  <c:v>8450.7000000000007</c:v>
                </c:pt>
                <c:pt idx="29">
                  <c:v>8269.7000000000007</c:v>
                </c:pt>
                <c:pt idx="30">
                  <c:v>8500.4</c:v>
                </c:pt>
                <c:pt idx="31">
                  <c:v>8787.9</c:v>
                </c:pt>
                <c:pt idx="32">
                  <c:v>8582.7999999999993</c:v>
                </c:pt>
                <c:pt idx="33">
                  <c:v>8982</c:v>
                </c:pt>
                <c:pt idx="34">
                  <c:v>9048.5</c:v>
                </c:pt>
                <c:pt idx="35">
                  <c:v>10262.1</c:v>
                </c:pt>
                <c:pt idx="36">
                  <c:v>9067.6</c:v>
                </c:pt>
                <c:pt idx="37">
                  <c:v>8264.7999999999993</c:v>
                </c:pt>
                <c:pt idx="38">
                  <c:v>9272</c:v>
                </c:pt>
                <c:pt idx="39">
                  <c:v>8614.9</c:v>
                </c:pt>
                <c:pt idx="40">
                  <c:v>8876.5</c:v>
                </c:pt>
                <c:pt idx="41">
                  <c:v>8516.9</c:v>
                </c:pt>
                <c:pt idx="42">
                  <c:v>8855.7999999999993</c:v>
                </c:pt>
                <c:pt idx="43">
                  <c:v>9188.1</c:v>
                </c:pt>
                <c:pt idx="44">
                  <c:v>8839.1</c:v>
                </c:pt>
                <c:pt idx="45">
                  <c:v>9338.4</c:v>
                </c:pt>
                <c:pt idx="46">
                  <c:v>9345.9</c:v>
                </c:pt>
                <c:pt idx="47">
                  <c:v>10856.4</c:v>
                </c:pt>
                <c:pt idx="48">
                  <c:v>9701.6</c:v>
                </c:pt>
                <c:pt idx="49">
                  <c:v>8667.9</c:v>
                </c:pt>
                <c:pt idx="50">
                  <c:v>9524.6</c:v>
                </c:pt>
                <c:pt idx="51">
                  <c:v>9223.9</c:v>
                </c:pt>
                <c:pt idx="52">
                  <c:v>9386</c:v>
                </c:pt>
                <c:pt idx="53">
                  <c:v>8977.5</c:v>
                </c:pt>
                <c:pt idx="54">
                  <c:v>9393.2999999999993</c:v>
                </c:pt>
                <c:pt idx="55">
                  <c:v>9582.4</c:v>
                </c:pt>
                <c:pt idx="56">
                  <c:v>9353.7999999999993</c:v>
                </c:pt>
                <c:pt idx="57">
                  <c:v>9964.4</c:v>
                </c:pt>
                <c:pt idx="58">
                  <c:v>9911.1</c:v>
                </c:pt>
                <c:pt idx="59">
                  <c:v>11271.6</c:v>
                </c:pt>
                <c:pt idx="60">
                  <c:v>9955.4</c:v>
                </c:pt>
                <c:pt idx="61">
                  <c:v>9020</c:v>
                </c:pt>
                <c:pt idx="62">
                  <c:v>9926.5</c:v>
                </c:pt>
                <c:pt idx="63">
                  <c:v>9538</c:v>
                </c:pt>
                <c:pt idx="64">
                  <c:v>9707.1</c:v>
                </c:pt>
                <c:pt idx="65">
                  <c:v>9217.7999999999993</c:v>
                </c:pt>
                <c:pt idx="66">
                  <c:v>9718</c:v>
                </c:pt>
                <c:pt idx="67">
                  <c:v>9834.7999999999993</c:v>
                </c:pt>
                <c:pt idx="68">
                  <c:v>9645.7999999999993</c:v>
                </c:pt>
                <c:pt idx="69">
                  <c:v>10319.200000000001</c:v>
                </c:pt>
                <c:pt idx="70">
                  <c:v>10128.5</c:v>
                </c:pt>
                <c:pt idx="71">
                  <c:v>11731.2</c:v>
                </c:pt>
                <c:pt idx="72">
                  <c:v>10244.9</c:v>
                </c:pt>
                <c:pt idx="73">
                  <c:v>9556.9</c:v>
                </c:pt>
                <c:pt idx="74">
                  <c:v>10354</c:v>
                </c:pt>
                <c:pt idx="75">
                  <c:v>9727.9</c:v>
                </c:pt>
                <c:pt idx="76">
                  <c:v>9815.2000000000007</c:v>
                </c:pt>
                <c:pt idx="77">
                  <c:v>9516.5</c:v>
                </c:pt>
                <c:pt idx="78">
                  <c:v>9928.5</c:v>
                </c:pt>
                <c:pt idx="79">
                  <c:v>10041.9</c:v>
                </c:pt>
                <c:pt idx="80">
                  <c:v>10005.700000000001</c:v>
                </c:pt>
                <c:pt idx="81">
                  <c:v>10482.6</c:v>
                </c:pt>
                <c:pt idx="82">
                  <c:v>10435.700000000001</c:v>
                </c:pt>
                <c:pt idx="83">
                  <c:v>12230.1</c:v>
                </c:pt>
                <c:pt idx="84">
                  <c:v>10431.5</c:v>
                </c:pt>
                <c:pt idx="85">
                  <c:v>9574.6</c:v>
                </c:pt>
                <c:pt idx="86">
                  <c:v>10510.3</c:v>
                </c:pt>
                <c:pt idx="87">
                  <c:v>10274.1</c:v>
                </c:pt>
                <c:pt idx="88">
                  <c:v>10189.700000000001</c:v>
                </c:pt>
                <c:pt idx="89">
                  <c:v>9857.6</c:v>
                </c:pt>
                <c:pt idx="90">
                  <c:v>10272.799999999999</c:v>
                </c:pt>
                <c:pt idx="91">
                  <c:v>10363.700000000001</c:v>
                </c:pt>
                <c:pt idx="92">
                  <c:v>10307.9</c:v>
                </c:pt>
                <c:pt idx="93">
                  <c:v>10710.9</c:v>
                </c:pt>
                <c:pt idx="94">
                  <c:v>10780.7</c:v>
                </c:pt>
                <c:pt idx="95">
                  <c:v>12552.1</c:v>
                </c:pt>
                <c:pt idx="96">
                  <c:v>10713.3</c:v>
                </c:pt>
                <c:pt idx="97">
                  <c:v>9833.2000000000007</c:v>
                </c:pt>
                <c:pt idx="98">
                  <c:v>11188.4</c:v>
                </c:pt>
                <c:pt idx="99">
                  <c:v>10354.1</c:v>
                </c:pt>
                <c:pt idx="100">
                  <c:v>10645.2</c:v>
                </c:pt>
                <c:pt idx="101">
                  <c:v>10268.200000000001</c:v>
                </c:pt>
                <c:pt idx="102">
                  <c:v>10604.4</c:v>
                </c:pt>
                <c:pt idx="103">
                  <c:v>10852.2</c:v>
                </c:pt>
                <c:pt idx="104">
                  <c:v>10713.8</c:v>
                </c:pt>
                <c:pt idx="105">
                  <c:v>11126.1</c:v>
                </c:pt>
                <c:pt idx="106">
                  <c:v>11214.7</c:v>
                </c:pt>
                <c:pt idx="107">
                  <c:v>13037.6</c:v>
                </c:pt>
                <c:pt idx="108">
                  <c:v>11253.8</c:v>
                </c:pt>
                <c:pt idx="109">
                  <c:v>10308.6</c:v>
                </c:pt>
                <c:pt idx="110">
                  <c:v>11405.1</c:v>
                </c:pt>
                <c:pt idx="111">
                  <c:v>10964.8</c:v>
                </c:pt>
                <c:pt idx="112">
                  <c:v>11024.2</c:v>
                </c:pt>
                <c:pt idx="113">
                  <c:v>10587.6</c:v>
                </c:pt>
                <c:pt idx="114">
                  <c:v>10949.7</c:v>
                </c:pt>
                <c:pt idx="115">
                  <c:v>11294.6</c:v>
                </c:pt>
                <c:pt idx="116">
                  <c:v>10946.6</c:v>
                </c:pt>
                <c:pt idx="117">
                  <c:v>11565.4</c:v>
                </c:pt>
                <c:pt idx="118">
                  <c:v>11643.3</c:v>
                </c:pt>
                <c:pt idx="119">
                  <c:v>13292.7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A-46B0-8272-33C451B94640}"/>
            </c:ext>
          </c:extLst>
        </c:ser>
        <c:ser>
          <c:idx val="1"/>
          <c:order val="1"/>
          <c:tx>
            <c:strRef>
              <c:f>'Raw Turnover'!$G$1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'Raw Turnover'!$B$2:$B$121</c:f>
              <c:numCache>
                <c:formatCode>mmm\-yyyy</c:formatCode>
                <c:ptCount val="120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</c:numCache>
            </c:numRef>
          </c:cat>
          <c:val>
            <c:numRef>
              <c:f>'Raw Turnover'!$G$2:$G$133</c:f>
              <c:numCache>
                <c:formatCode>General</c:formatCode>
                <c:ptCount val="132"/>
                <c:pt idx="12">
                  <c:v>8122.0662560536975</c:v>
                </c:pt>
                <c:pt idx="13">
                  <c:v>7328.0127929664413</c:v>
                </c:pt>
                <c:pt idx="14">
                  <c:v>8187.7877393070521</c:v>
                </c:pt>
                <c:pt idx="15">
                  <c:v>8042.4077521044937</c:v>
                </c:pt>
                <c:pt idx="16">
                  <c:v>8146.6931033017818</c:v>
                </c:pt>
                <c:pt idx="17">
                  <c:v>7791.0332221399685</c:v>
                </c:pt>
                <c:pt idx="18">
                  <c:v>8366.8590320125768</c:v>
                </c:pt>
                <c:pt idx="19">
                  <c:v>8264.0172466615804</c:v>
                </c:pt>
                <c:pt idx="20">
                  <c:v>8232.6529656342536</c:v>
                </c:pt>
                <c:pt idx="21">
                  <c:v>8670.6046712384687</c:v>
                </c:pt>
                <c:pt idx="22">
                  <c:v>8742.9066606976521</c:v>
                </c:pt>
                <c:pt idx="23">
                  <c:v>10020.315156141767</c:v>
                </c:pt>
                <c:pt idx="24">
                  <c:v>8675.8269787497593</c:v>
                </c:pt>
                <c:pt idx="25">
                  <c:v>7800.393737011148</c:v>
                </c:pt>
                <c:pt idx="26">
                  <c:v>8607.3052040683069</c:v>
                </c:pt>
                <c:pt idx="27">
                  <c:v>8485.9082686372913</c:v>
                </c:pt>
                <c:pt idx="28">
                  <c:v>8456.7246876285153</c:v>
                </c:pt>
                <c:pt idx="29">
                  <c:v>8165.1453006609872</c:v>
                </c:pt>
                <c:pt idx="30">
                  <c:v>8711.6127091800754</c:v>
                </c:pt>
                <c:pt idx="31">
                  <c:v>8640.9487496355723</c:v>
                </c:pt>
                <c:pt idx="32">
                  <c:v>8591.6132632716053</c:v>
                </c:pt>
                <c:pt idx="33">
                  <c:v>8997.3608428305324</c:v>
                </c:pt>
                <c:pt idx="34">
                  <c:v>9035.0727393348661</c:v>
                </c:pt>
                <c:pt idx="35">
                  <c:v>10428.573024061559</c:v>
                </c:pt>
                <c:pt idx="36">
                  <c:v>8991.9645440924414</c:v>
                </c:pt>
                <c:pt idx="37">
                  <c:v>8286.8125332518885</c:v>
                </c:pt>
                <c:pt idx="38">
                  <c:v>9002.9256408503334</c:v>
                </c:pt>
                <c:pt idx="39">
                  <c:v>8807.4831464479175</c:v>
                </c:pt>
                <c:pt idx="40">
                  <c:v>8794.3013308267673</c:v>
                </c:pt>
                <c:pt idx="41">
                  <c:v>8544.9979904266966</c:v>
                </c:pt>
                <c:pt idx="42">
                  <c:v>8968.5084982560784</c:v>
                </c:pt>
                <c:pt idx="43">
                  <c:v>9049.6959703604844</c:v>
                </c:pt>
                <c:pt idx="44">
                  <c:v>8933.6916820636234</c:v>
                </c:pt>
                <c:pt idx="45">
                  <c:v>9340.1104527473672</c:v>
                </c:pt>
                <c:pt idx="46">
                  <c:v>9391.3978768125198</c:v>
                </c:pt>
                <c:pt idx="47">
                  <c:v>10757.433813013215</c:v>
                </c:pt>
                <c:pt idx="48">
                  <c:v>9392.3595995595515</c:v>
                </c:pt>
                <c:pt idx="49">
                  <c:v>8646.5264269573472</c:v>
                </c:pt>
                <c:pt idx="50">
                  <c:v>9515.0272096072003</c:v>
                </c:pt>
                <c:pt idx="51">
                  <c:v>9091.4919175572377</c:v>
                </c:pt>
                <c:pt idx="52">
                  <c:v>9230.2624584154055</c:v>
                </c:pt>
                <c:pt idx="53">
                  <c:v>8933.5534326715624</c:v>
                </c:pt>
                <c:pt idx="54">
                  <c:v>9352.2230008126517</c:v>
                </c:pt>
                <c:pt idx="55">
                  <c:v>9557.7496474022628</c:v>
                </c:pt>
                <c:pt idx="56">
                  <c:v>9326.107185166391</c:v>
                </c:pt>
                <c:pt idx="57">
                  <c:v>9805.7159741883552</c:v>
                </c:pt>
                <c:pt idx="58">
                  <c:v>9862.3565169008434</c:v>
                </c:pt>
                <c:pt idx="59">
                  <c:v>11370.812165762138</c:v>
                </c:pt>
                <c:pt idx="60">
                  <c:v>9991.7035579894673</c:v>
                </c:pt>
                <c:pt idx="61">
                  <c:v>9048.5246873060423</c:v>
                </c:pt>
                <c:pt idx="62">
                  <c:v>9943.3104305886955</c:v>
                </c:pt>
                <c:pt idx="63">
                  <c:v>9545.0972183172016</c:v>
                </c:pt>
                <c:pt idx="64">
                  <c:v>9678.4467754010893</c:v>
                </c:pt>
                <c:pt idx="65">
                  <c:v>9306.9066285374829</c:v>
                </c:pt>
                <c:pt idx="66">
                  <c:v>9721.3034694919588</c:v>
                </c:pt>
                <c:pt idx="67">
                  <c:v>9920.785313700555</c:v>
                </c:pt>
                <c:pt idx="68">
                  <c:v>9666.2587074820622</c:v>
                </c:pt>
                <c:pt idx="69">
                  <c:v>10206.24269635022</c:v>
                </c:pt>
                <c:pt idx="70">
                  <c:v>10213.671417023939</c:v>
                </c:pt>
                <c:pt idx="71">
                  <c:v>11692.811036875883</c:v>
                </c:pt>
                <c:pt idx="72">
                  <c:v>10310.007607128409</c:v>
                </c:pt>
                <c:pt idx="73">
                  <c:v>9334.1781492912578</c:v>
                </c:pt>
                <c:pt idx="74">
                  <c:v>10298.727958325762</c:v>
                </c:pt>
                <c:pt idx="75">
                  <c:v>9898.1055062885353</c:v>
                </c:pt>
                <c:pt idx="76">
                  <c:v>10027.503980822496</c:v>
                </c:pt>
                <c:pt idx="77">
                  <c:v>9564.8384398208</c:v>
                </c:pt>
                <c:pt idx="78">
                  <c:v>10030.985679247853</c:v>
                </c:pt>
                <c:pt idx="79">
                  <c:v>10189.912120833555</c:v>
                </c:pt>
                <c:pt idx="80">
                  <c:v>9944.5555381986105</c:v>
                </c:pt>
                <c:pt idx="81">
                  <c:v>10563.243507771536</c:v>
                </c:pt>
                <c:pt idx="82">
                  <c:v>10466.150519758487</c:v>
                </c:pt>
                <c:pt idx="83">
                  <c:v>12042.50474803094</c:v>
                </c:pt>
                <c:pt idx="84">
                  <c:v>10595.848427475499</c:v>
                </c:pt>
                <c:pt idx="85">
                  <c:v>9690.231189877828</c:v>
                </c:pt>
                <c:pt idx="86">
                  <c:v>10565.908581786156</c:v>
                </c:pt>
                <c:pt idx="87">
                  <c:v>10052.567632631864</c:v>
                </c:pt>
                <c:pt idx="88">
                  <c:v>10220.56425398821</c:v>
                </c:pt>
                <c:pt idx="89">
                  <c:v>9832.2417877719563</c:v>
                </c:pt>
                <c:pt idx="90">
                  <c:v>10300.555286572931</c:v>
                </c:pt>
                <c:pt idx="91">
                  <c:v>10455.950411996822</c:v>
                </c:pt>
                <c:pt idx="92">
                  <c:v>10291.798961010674</c:v>
                </c:pt>
                <c:pt idx="93">
                  <c:v>10867.261382387003</c:v>
                </c:pt>
                <c:pt idx="94">
                  <c:v>10776.097276561832</c:v>
                </c:pt>
                <c:pt idx="95">
                  <c:v>12490.638917897661</c:v>
                </c:pt>
                <c:pt idx="96">
                  <c:v>10844.600005524413</c:v>
                </c:pt>
                <c:pt idx="97">
                  <c:v>9934.9293640137203</c:v>
                </c:pt>
                <c:pt idx="98">
                  <c:v>10861.8335688635</c:v>
                </c:pt>
                <c:pt idx="99">
                  <c:v>10489.527549039884</c:v>
                </c:pt>
                <c:pt idx="100">
                  <c:v>10514.386946650257</c:v>
                </c:pt>
                <c:pt idx="101">
                  <c:v>10156.399712602039</c:v>
                </c:pt>
                <c:pt idx="102">
                  <c:v>10629.78582991465</c:v>
                </c:pt>
                <c:pt idx="103">
                  <c:v>10764.423656499195</c:v>
                </c:pt>
                <c:pt idx="104">
                  <c:v>10660.582314671412</c:v>
                </c:pt>
                <c:pt idx="105">
                  <c:v>11192.426495270396</c:v>
                </c:pt>
                <c:pt idx="106">
                  <c:v>11173.16272228657</c:v>
                </c:pt>
                <c:pt idx="107">
                  <c:v>12977.571206728044</c:v>
                </c:pt>
                <c:pt idx="108">
                  <c:v>11193.080929643818</c:v>
                </c:pt>
                <c:pt idx="109">
                  <c:v>10284.627568609965</c:v>
                </c:pt>
                <c:pt idx="110">
                  <c:v>11434.916978450527</c:v>
                </c:pt>
                <c:pt idx="111">
                  <c:v>10817.002455861559</c:v>
                </c:pt>
                <c:pt idx="112">
                  <c:v>10985.566416532418</c:v>
                </c:pt>
                <c:pt idx="113">
                  <c:v>10592.377288293694</c:v>
                </c:pt>
                <c:pt idx="114">
                  <c:v>11012.229435134854</c:v>
                </c:pt>
                <c:pt idx="115">
                  <c:v>11190.626936291821</c:v>
                </c:pt>
                <c:pt idx="116">
                  <c:v>11070.191571965997</c:v>
                </c:pt>
                <c:pt idx="117">
                  <c:v>11548.51337945408</c:v>
                </c:pt>
                <c:pt idx="118">
                  <c:v>11581.475765595816</c:v>
                </c:pt>
                <c:pt idx="119">
                  <c:v>13458.285867567547</c:v>
                </c:pt>
                <c:pt idx="120">
                  <c:v>11584.16186414943</c:v>
                </c:pt>
                <c:pt idx="121">
                  <c:v>10622.966378793464</c:v>
                </c:pt>
                <c:pt idx="122">
                  <c:v>11784.336616349017</c:v>
                </c:pt>
                <c:pt idx="123">
                  <c:v>11219.489689518348</c:v>
                </c:pt>
                <c:pt idx="124">
                  <c:v>11329.192097883195</c:v>
                </c:pt>
                <c:pt idx="125">
                  <c:v>10901.280333814282</c:v>
                </c:pt>
                <c:pt idx="126">
                  <c:v>11310.603154839058</c:v>
                </c:pt>
                <c:pt idx="127">
                  <c:v>11567.205127692219</c:v>
                </c:pt>
                <c:pt idx="128">
                  <c:v>11339.083867046065</c:v>
                </c:pt>
                <c:pt idx="129">
                  <c:v>11902.890780033567</c:v>
                </c:pt>
                <c:pt idx="130">
                  <c:v>11951.187076032647</c:v>
                </c:pt>
                <c:pt idx="131">
                  <c:v>13783.978828565967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A-46B0-8272-33C451B94640}"/>
            </c:ext>
          </c:extLst>
        </c:ser>
        <c:ser>
          <c:idx val="2"/>
          <c:order val="2"/>
          <c:tx>
            <c:v>Forecast</c:v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'Raw Turnover'!$I$2:$I$133</c:f>
              <c:numCache>
                <c:formatCode>General</c:formatCode>
                <c:ptCount val="1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A-46B0-8272-33C451B94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31680"/>
        <c:axId val="1"/>
      </c:lineChart>
      <c:dateAx>
        <c:axId val="8313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m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Turnover (Millions)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;\-0.0;0.0;@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316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919218431029453"/>
          <c:y val="0.95311105643044614"/>
          <c:w val="0.47094915461148762"/>
          <c:h val="3.77195428696412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411854768153984E-2"/>
                  <c:y val="-0.147316637503645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Sales!$H$2:$H$49</c:f>
              <c:numCache>
                <c:formatCode>0.00</c:formatCode>
                <c:ptCount val="48"/>
                <c:pt idx="0">
                  <c:v>2828.3993709135589</c:v>
                </c:pt>
                <c:pt idx="1">
                  <c:v>2882.5192380380417</c:v>
                </c:pt>
                <c:pt idx="2">
                  <c:v>2664.0183981627747</c:v>
                </c:pt>
                <c:pt idx="3">
                  <c:v>2953.6445860510221</c:v>
                </c:pt>
                <c:pt idx="4">
                  <c:v>2831.1762865333139</c:v>
                </c:pt>
                <c:pt idx="5">
                  <c:v>2822.0672501975318</c:v>
                </c:pt>
                <c:pt idx="6">
                  <c:v>2889.0780678330098</c:v>
                </c:pt>
                <c:pt idx="7">
                  <c:v>2906.6617104961765</c:v>
                </c:pt>
                <c:pt idx="8">
                  <c:v>2866.028702011009</c:v>
                </c:pt>
                <c:pt idx="9">
                  <c:v>2975.5172478299587</c:v>
                </c:pt>
                <c:pt idx="10">
                  <c:v>2897.1739078116916</c:v>
                </c:pt>
                <c:pt idx="11">
                  <c:v>2907.5493396569041</c:v>
                </c:pt>
                <c:pt idx="12">
                  <c:v>2996.5701578846642</c:v>
                </c:pt>
                <c:pt idx="13">
                  <c:v>2926.4361115979177</c:v>
                </c:pt>
                <c:pt idx="14">
                  <c:v>2957.7647203814595</c:v>
                </c:pt>
                <c:pt idx="15">
                  <c:v>2988.0900446258088</c:v>
                </c:pt>
                <c:pt idx="16">
                  <c:v>3014.2175553454981</c:v>
                </c:pt>
                <c:pt idx="17">
                  <c:v>2938.0257628214522</c:v>
                </c:pt>
                <c:pt idx="18">
                  <c:v>3024.4850024090315</c:v>
                </c:pt>
                <c:pt idx="19">
                  <c:v>2983.4486578215519</c:v>
                </c:pt>
                <c:pt idx="20">
                  <c:v>3015.972378940452</c:v>
                </c:pt>
                <c:pt idx="21">
                  <c:v>3009.3881923500967</c:v>
                </c:pt>
                <c:pt idx="22">
                  <c:v>3038.0304074559272</c:v>
                </c:pt>
                <c:pt idx="23">
                  <c:v>3049.637113436645</c:v>
                </c:pt>
                <c:pt idx="24">
                  <c:v>3066.0515085182506</c:v>
                </c:pt>
                <c:pt idx="25">
                  <c:v>3084.6633659257841</c:v>
                </c:pt>
                <c:pt idx="26">
                  <c:v>3100.644932793758</c:v>
                </c:pt>
                <c:pt idx="27">
                  <c:v>3085.4359058154228</c:v>
                </c:pt>
                <c:pt idx="28">
                  <c:v>3033.0440940332346</c:v>
                </c:pt>
                <c:pt idx="29">
                  <c:v>3183.2713527387091</c:v>
                </c:pt>
                <c:pt idx="30">
                  <c:v>3122.2954328060696</c:v>
                </c:pt>
                <c:pt idx="31">
                  <c:v>3184.3250089738453</c:v>
                </c:pt>
                <c:pt idx="32">
                  <c:v>3245.33966342024</c:v>
                </c:pt>
                <c:pt idx="33">
                  <c:v>3176.6322626216406</c:v>
                </c:pt>
                <c:pt idx="34">
                  <c:v>3273.3803079685094</c:v>
                </c:pt>
                <c:pt idx="35">
                  <c:v>3298.5556269599342</c:v>
                </c:pt>
                <c:pt idx="36">
                  <c:v>3223.1571162636346</c:v>
                </c:pt>
                <c:pt idx="37">
                  <c:v>3319.3385112652868</c:v>
                </c:pt>
                <c:pt idx="38">
                  <c:v>3313.6663403902758</c:v>
                </c:pt>
                <c:pt idx="39">
                  <c:v>3337.6793571177404</c:v>
                </c:pt>
                <c:pt idx="40">
                  <c:v>3405.7307054381176</c:v>
                </c:pt>
                <c:pt idx="41">
                  <c:v>3378.3810340148543</c:v>
                </c:pt>
                <c:pt idx="42">
                  <c:v>3282.9981683468427</c:v>
                </c:pt>
                <c:pt idx="43">
                  <c:v>3403.9738596794418</c:v>
                </c:pt>
                <c:pt idx="44">
                  <c:v>3462.2622297743051</c:v>
                </c:pt>
                <c:pt idx="45">
                  <c:v>3338.3484339358915</c:v>
                </c:pt>
                <c:pt idx="46">
                  <c:v>3502.596973441232</c:v>
                </c:pt>
                <c:pt idx="47">
                  <c:v>3385.9275664977145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7-498C-9F17-83E2FD29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29744"/>
        <c:axId val="86547632"/>
      </c:lineChart>
      <c:catAx>
        <c:axId val="86529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7632"/>
        <c:crosses val="autoZero"/>
        <c:auto val="1"/>
        <c:lblAlgn val="ctr"/>
        <c:lblOffset val="100"/>
        <c:noMultiLvlLbl val="0"/>
      </c:catAx>
      <c:valAx>
        <c:axId val="865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Sales!$H$2:$H$49</c:f>
              <c:numCache>
                <c:formatCode>0.00</c:formatCode>
                <c:ptCount val="48"/>
                <c:pt idx="0">
                  <c:v>2828.3993709135589</c:v>
                </c:pt>
                <c:pt idx="1">
                  <c:v>2882.5192380380417</c:v>
                </c:pt>
                <c:pt idx="2">
                  <c:v>2664.0183981627747</c:v>
                </c:pt>
                <c:pt idx="3">
                  <c:v>2953.6445860510221</c:v>
                </c:pt>
                <c:pt idx="4">
                  <c:v>2831.1762865333139</c:v>
                </c:pt>
                <c:pt idx="5">
                  <c:v>2822.0672501975318</c:v>
                </c:pt>
                <c:pt idx="6">
                  <c:v>2889.0780678330098</c:v>
                </c:pt>
                <c:pt idx="7">
                  <c:v>2906.6617104961765</c:v>
                </c:pt>
                <c:pt idx="8">
                  <c:v>2866.028702011009</c:v>
                </c:pt>
                <c:pt idx="9">
                  <c:v>2975.5172478299587</c:v>
                </c:pt>
                <c:pt idx="10">
                  <c:v>2897.1739078116916</c:v>
                </c:pt>
                <c:pt idx="11">
                  <c:v>2907.5493396569041</c:v>
                </c:pt>
                <c:pt idx="12">
                  <c:v>2996.5701578846642</c:v>
                </c:pt>
                <c:pt idx="13">
                  <c:v>2926.4361115979177</c:v>
                </c:pt>
                <c:pt idx="14">
                  <c:v>2957.7647203814595</c:v>
                </c:pt>
                <c:pt idx="15">
                  <c:v>2988.0900446258088</c:v>
                </c:pt>
                <c:pt idx="16">
                  <c:v>3014.2175553454981</c:v>
                </c:pt>
                <c:pt idx="17">
                  <c:v>2938.0257628214522</c:v>
                </c:pt>
                <c:pt idx="18">
                  <c:v>3024.4850024090315</c:v>
                </c:pt>
                <c:pt idx="19">
                  <c:v>2983.4486578215519</c:v>
                </c:pt>
                <c:pt idx="20">
                  <c:v>3015.972378940452</c:v>
                </c:pt>
                <c:pt idx="21">
                  <c:v>3009.3881923500967</c:v>
                </c:pt>
                <c:pt idx="22">
                  <c:v>3038.0304074559272</c:v>
                </c:pt>
                <c:pt idx="23">
                  <c:v>3049.637113436645</c:v>
                </c:pt>
                <c:pt idx="24">
                  <c:v>3066.0515085182506</c:v>
                </c:pt>
                <c:pt idx="25">
                  <c:v>3084.6633659257841</c:v>
                </c:pt>
                <c:pt idx="26">
                  <c:v>3100.644932793758</c:v>
                </c:pt>
                <c:pt idx="27">
                  <c:v>3085.4359058154228</c:v>
                </c:pt>
                <c:pt idx="28">
                  <c:v>3033.0440940332346</c:v>
                </c:pt>
                <c:pt idx="29">
                  <c:v>3183.2713527387091</c:v>
                </c:pt>
                <c:pt idx="30">
                  <c:v>3122.2954328060696</c:v>
                </c:pt>
                <c:pt idx="31">
                  <c:v>3184.3250089738453</c:v>
                </c:pt>
                <c:pt idx="32">
                  <c:v>3245.33966342024</c:v>
                </c:pt>
                <c:pt idx="33">
                  <c:v>3176.6322626216406</c:v>
                </c:pt>
                <c:pt idx="34">
                  <c:v>3273.3803079685094</c:v>
                </c:pt>
                <c:pt idx="35">
                  <c:v>3298.5556269599342</c:v>
                </c:pt>
                <c:pt idx="36">
                  <c:v>3223.1571162636346</c:v>
                </c:pt>
                <c:pt idx="37">
                  <c:v>3319.3385112652868</c:v>
                </c:pt>
                <c:pt idx="38">
                  <c:v>3313.6663403902758</c:v>
                </c:pt>
                <c:pt idx="39">
                  <c:v>3337.6793571177404</c:v>
                </c:pt>
                <c:pt idx="40">
                  <c:v>3405.7307054381176</c:v>
                </c:pt>
                <c:pt idx="41">
                  <c:v>3378.3810340148543</c:v>
                </c:pt>
                <c:pt idx="42">
                  <c:v>3282.9981683468427</c:v>
                </c:pt>
                <c:pt idx="43">
                  <c:v>3403.9738596794418</c:v>
                </c:pt>
                <c:pt idx="44">
                  <c:v>3462.2622297743051</c:v>
                </c:pt>
                <c:pt idx="45">
                  <c:v>3338.3484339358915</c:v>
                </c:pt>
                <c:pt idx="46">
                  <c:v>3502.596973441232</c:v>
                </c:pt>
                <c:pt idx="47">
                  <c:v>3385.9275664977145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A-46B0-A2BF-11D717048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60816"/>
        <c:axId val="90761296"/>
      </c:lineChart>
      <c:catAx>
        <c:axId val="907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1296"/>
        <c:crosses val="autoZero"/>
        <c:auto val="1"/>
        <c:lblAlgn val="ctr"/>
        <c:lblOffset val="100"/>
        <c:noMultiLvlLbl val="0"/>
      </c:catAx>
      <c:valAx>
        <c:axId val="907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4</xdr:row>
      <xdr:rowOff>33337</xdr:rowOff>
    </xdr:from>
    <xdr:to>
      <xdr:col>14</xdr:col>
      <xdr:colOff>523875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3C990-F4D9-E408-1CBC-3337B1EFE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400050</xdr:colOff>
      <xdr:row>5</xdr:row>
      <xdr:rowOff>47625</xdr:rowOff>
    </xdr:from>
    <xdr:to>
      <xdr:col>29</xdr:col>
      <xdr:colOff>152400</xdr:colOff>
      <xdr:row>25</xdr:row>
      <xdr:rowOff>85725</xdr:rowOff>
    </xdr:to>
    <xdr:graphicFrame macro="">
      <xdr:nvGraphicFramePr>
        <xdr:cNvPr id="52289" name="Chart 1">
          <a:extLst>
            <a:ext uri="{FF2B5EF4-FFF2-40B4-BE49-F238E27FC236}">
              <a16:creationId xmlns:a16="http://schemas.microsoft.com/office/drawing/2014/main" id="{49418F69-87DD-42FB-9364-AD68661DE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</xdr:colOff>
      <xdr:row>61</xdr:row>
      <xdr:rowOff>45243</xdr:rowOff>
    </xdr:from>
    <xdr:to>
      <xdr:col>8</xdr:col>
      <xdr:colOff>207168</xdr:colOff>
      <xdr:row>76</xdr:row>
      <xdr:rowOff>73818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0DDFB-AC39-4D6C-9E82-FDEB39DA8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8</xdr:row>
      <xdr:rowOff>128587</xdr:rowOff>
    </xdr:from>
    <xdr:to>
      <xdr:col>21</xdr:col>
      <xdr:colOff>276225</xdr:colOff>
      <xdr:row>23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613F1-E741-505E-76B4-D1963AD0A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804B-8720-4545-992B-852E77468B9C}">
  <dimension ref="A1:S460"/>
  <sheetViews>
    <sheetView workbookViewId="0">
      <pane xSplit="1" ySplit="1" topLeftCell="C104" activePane="bottomRight" state="frozen"/>
      <selection pane="topRight" activeCell="B1" sqref="B1"/>
      <selection pane="bottomLeft" activeCell="A11" sqref="A11"/>
      <selection pane="bottomRight" activeCell="A122" sqref="A122:XFD122"/>
    </sheetView>
  </sheetViews>
  <sheetFormatPr defaultColWidth="25.140625" defaultRowHeight="15" x14ac:dyDescent="0.25"/>
  <cols>
    <col min="1" max="1" width="8.28515625" style="1" customWidth="1"/>
    <col min="2" max="2" width="14.28515625" style="1" customWidth="1"/>
    <col min="3" max="3" width="9.7109375" style="1" customWidth="1"/>
    <col min="4" max="4" width="7.5703125" style="1" customWidth="1"/>
    <col min="5" max="5" width="7.5703125" bestFit="1" customWidth="1"/>
    <col min="6" max="6" width="4.5703125" customWidth="1"/>
    <col min="7" max="7" width="8.28515625" style="1" customWidth="1"/>
    <col min="8" max="8" width="8.85546875" style="1" customWidth="1"/>
    <col min="9" max="9" width="11" style="1" customWidth="1"/>
    <col min="10" max="10" width="10" style="1" bestFit="1" customWidth="1"/>
    <col min="11" max="11" width="4" style="1" bestFit="1" customWidth="1"/>
    <col min="12" max="12" width="7.140625" style="1" customWidth="1"/>
    <col min="13" max="14" width="25.140625" style="1"/>
    <col min="15" max="15" width="5" style="1" customWidth="1"/>
    <col min="16" max="18" width="8" style="1" customWidth="1"/>
    <col min="19" max="16384" width="25.140625" style="1"/>
  </cols>
  <sheetData>
    <row r="1" spans="1:19" s="8" customFormat="1" ht="13.9" customHeight="1" x14ac:dyDescent="0.2">
      <c r="A1" s="8" t="s">
        <v>3</v>
      </c>
      <c r="B1" s="9" t="s">
        <v>19</v>
      </c>
      <c r="C1" s="9" t="s">
        <v>45</v>
      </c>
      <c r="D1" s="9" t="s">
        <v>46</v>
      </c>
      <c r="E1" s="8" t="s">
        <v>47</v>
      </c>
      <c r="F1" s="8" t="s">
        <v>48</v>
      </c>
      <c r="G1" s="9" t="s">
        <v>2</v>
      </c>
      <c r="H1" s="9" t="s">
        <v>0</v>
      </c>
      <c r="I1" s="9" t="s">
        <v>1</v>
      </c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3">
        <v>40909</v>
      </c>
      <c r="B2" s="4">
        <v>7956.2</v>
      </c>
      <c r="C2" s="4"/>
      <c r="D2" s="4"/>
      <c r="G2" s="4">
        <v>7956.2</v>
      </c>
      <c r="H2" s="4">
        <f>B3-B2</f>
        <v>-98.199999999999818</v>
      </c>
      <c r="I2" s="4"/>
      <c r="J2" s="4"/>
      <c r="K2" s="13" t="s">
        <v>8</v>
      </c>
      <c r="L2" s="14">
        <v>0.2</v>
      </c>
      <c r="M2" s="2"/>
      <c r="N2" s="2"/>
      <c r="O2" s="2"/>
      <c r="P2" s="2" t="s">
        <v>32</v>
      </c>
      <c r="Q2" s="2" t="s">
        <v>49</v>
      </c>
      <c r="R2" s="2" t="s">
        <v>50</v>
      </c>
      <c r="S2" s="2" t="s">
        <v>51</v>
      </c>
    </row>
    <row r="3" spans="1:19" x14ac:dyDescent="0.25">
      <c r="A3" s="3">
        <v>40940</v>
      </c>
      <c r="B3" s="4">
        <v>7858</v>
      </c>
      <c r="C3" s="4">
        <f>AVERAGE($B$2:$B$121)</f>
        <v>9649.8641666666699</v>
      </c>
      <c r="D3" s="4"/>
      <c r="E3" s="4">
        <f>B2</f>
        <v>7956.2</v>
      </c>
      <c r="G3" s="4">
        <f>$L$2*B3+(1-$L$2)*(G2+H2)</f>
        <v>7858.0000000000009</v>
      </c>
      <c r="H3" s="4">
        <f>$L$3*(G3-G2)+(1-$L$3)*H2</f>
        <v>-98.199999999999363</v>
      </c>
      <c r="I3" s="4">
        <f>G2+H2</f>
        <v>7858</v>
      </c>
      <c r="J3" s="4"/>
      <c r="K3" s="13" t="s">
        <v>9</v>
      </c>
      <c r="L3" s="14">
        <v>0.5</v>
      </c>
      <c r="M3" s="2"/>
      <c r="N3" s="2"/>
      <c r="O3" s="2"/>
      <c r="P3" s="2"/>
      <c r="Q3" s="2"/>
      <c r="R3" s="2"/>
      <c r="S3" s="2" t="s">
        <v>52</v>
      </c>
    </row>
    <row r="4" spans="1:19" x14ac:dyDescent="0.25">
      <c r="A4" s="3">
        <v>40969</v>
      </c>
      <c r="B4" s="4">
        <v>7919.2</v>
      </c>
      <c r="C4" s="4">
        <f t="shared" ref="C4:C67" si="0">AVERAGE($B$2:$B$121)</f>
        <v>9649.8641666666699</v>
      </c>
      <c r="D4" s="4"/>
      <c r="E4" s="4">
        <f t="shared" ref="E4:E67" si="1">B3</f>
        <v>7858</v>
      </c>
      <c r="G4" s="4">
        <f t="shared" ref="G4:G67" si="2">$L$2*B4+(1-$L$2)*(G3+H3)</f>
        <v>7791.6800000000012</v>
      </c>
      <c r="H4" s="4">
        <f t="shared" ref="H4:H67" si="3">$L$3*(G4-G3)+(1-$L$3)*H3</f>
        <v>-82.259999999999536</v>
      </c>
      <c r="I4" s="4">
        <f t="shared" ref="I4:I67" si="4">G3+H3</f>
        <v>7759.8000000000011</v>
      </c>
      <c r="J4" s="4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3">
        <v>41000</v>
      </c>
      <c r="B5" s="4">
        <v>8052.1</v>
      </c>
      <c r="C5" s="4">
        <f t="shared" si="0"/>
        <v>9649.8641666666699</v>
      </c>
      <c r="D5" s="4"/>
      <c r="E5" s="4">
        <f t="shared" si="1"/>
        <v>7919.2</v>
      </c>
      <c r="G5" s="4">
        <f t="shared" si="2"/>
        <v>7777.9560000000019</v>
      </c>
      <c r="H5" s="4">
        <f t="shared" si="3"/>
        <v>-47.991999999999393</v>
      </c>
      <c r="I5" s="4">
        <f t="shared" si="4"/>
        <v>7709.4200000000019</v>
      </c>
      <c r="J5" s="4"/>
      <c r="K5" s="2"/>
      <c r="L5" s="2"/>
      <c r="M5" s="2"/>
      <c r="N5" s="2"/>
      <c r="O5" s="2"/>
      <c r="P5" s="2">
        <f>B4-I4</f>
        <v>159.39999999999873</v>
      </c>
      <c r="Q5" s="2">
        <f t="shared" ref="Q5:Q68" si="5">ABS(P5)</f>
        <v>159.39999999999873</v>
      </c>
      <c r="R5" s="2">
        <f t="shared" ref="R5:R68" si="6">P5*P5</f>
        <v>25408.359999999593</v>
      </c>
      <c r="S5" s="2"/>
    </row>
    <row r="6" spans="1:19" x14ac:dyDescent="0.25">
      <c r="A6" s="3">
        <v>41030</v>
      </c>
      <c r="B6" s="4">
        <v>8066.3</v>
      </c>
      <c r="C6" s="4">
        <f t="shared" si="0"/>
        <v>9649.8641666666699</v>
      </c>
      <c r="D6" s="4">
        <f>AVERAGE(B2:B5)</f>
        <v>7946.375</v>
      </c>
      <c r="E6" s="4">
        <f t="shared" si="1"/>
        <v>8052.1</v>
      </c>
      <c r="G6" s="4">
        <f t="shared" si="2"/>
        <v>7797.2312000000029</v>
      </c>
      <c r="H6" s="4">
        <f t="shared" si="3"/>
        <v>-14.358399999999222</v>
      </c>
      <c r="I6" s="4">
        <f t="shared" si="4"/>
        <v>7729.9640000000027</v>
      </c>
      <c r="J6" s="4"/>
      <c r="K6" s="2"/>
      <c r="L6" s="2"/>
      <c r="M6" s="2"/>
      <c r="N6" s="2"/>
      <c r="O6" s="2"/>
      <c r="P6" s="2">
        <f t="shared" ref="P5:P68" si="7">B5-I5</f>
        <v>342.67999999999847</v>
      </c>
      <c r="Q6" s="2">
        <f t="shared" si="5"/>
        <v>342.67999999999847</v>
      </c>
      <c r="R6" s="2">
        <f t="shared" si="6"/>
        <v>117429.58239999895</v>
      </c>
      <c r="S6" s="2"/>
    </row>
    <row r="7" spans="1:19" x14ac:dyDescent="0.25">
      <c r="A7" s="3">
        <v>41061</v>
      </c>
      <c r="B7" s="4">
        <v>8066.7</v>
      </c>
      <c r="C7" s="4">
        <f t="shared" si="0"/>
        <v>9649.8641666666699</v>
      </c>
      <c r="D7" s="4">
        <f t="shared" ref="D7:D70" si="8">AVERAGE(B3:B6)</f>
        <v>7973.9000000000005</v>
      </c>
      <c r="E7" s="4">
        <f t="shared" si="1"/>
        <v>8066.3</v>
      </c>
      <c r="G7" s="4">
        <f t="shared" si="2"/>
        <v>7839.6382400000039</v>
      </c>
      <c r="H7" s="4">
        <f t="shared" si="3"/>
        <v>14.02432000000087</v>
      </c>
      <c r="I7" s="4">
        <f t="shared" si="4"/>
        <v>7782.8728000000037</v>
      </c>
      <c r="J7" s="4"/>
      <c r="K7" s="2"/>
      <c r="L7" s="2"/>
      <c r="M7" s="2"/>
      <c r="N7" s="2"/>
      <c r="O7" s="2"/>
      <c r="P7" s="2">
        <f t="shared" si="7"/>
        <v>336.33599999999751</v>
      </c>
      <c r="Q7" s="2">
        <f t="shared" si="5"/>
        <v>336.33599999999751</v>
      </c>
      <c r="R7" s="2">
        <f t="shared" si="6"/>
        <v>113121.90489599832</v>
      </c>
      <c r="S7" s="2"/>
    </row>
    <row r="8" spans="1:19" x14ac:dyDescent="0.25">
      <c r="A8" s="3">
        <v>41091</v>
      </c>
      <c r="B8" s="4">
        <v>8086.2</v>
      </c>
      <c r="C8" s="4">
        <f t="shared" si="0"/>
        <v>9649.8641666666699</v>
      </c>
      <c r="D8" s="4">
        <f t="shared" si="8"/>
        <v>8026.0749999999998</v>
      </c>
      <c r="E8" s="4">
        <f t="shared" si="1"/>
        <v>8066.7</v>
      </c>
      <c r="G8" s="4">
        <f t="shared" si="2"/>
        <v>7900.1700480000036</v>
      </c>
      <c r="H8" s="4">
        <f t="shared" si="3"/>
        <v>37.278064000000299</v>
      </c>
      <c r="I8" s="4">
        <f t="shared" si="4"/>
        <v>7853.6625600000043</v>
      </c>
      <c r="J8" s="4"/>
      <c r="K8" s="2"/>
      <c r="L8" s="2"/>
      <c r="M8" s="2"/>
      <c r="N8" s="2"/>
      <c r="O8" s="2"/>
      <c r="P8" s="2">
        <f t="shared" si="7"/>
        <v>283.82719999999608</v>
      </c>
      <c r="Q8" s="2">
        <f t="shared" si="5"/>
        <v>283.82719999999608</v>
      </c>
      <c r="R8" s="2">
        <f t="shared" si="6"/>
        <v>80557.879459837772</v>
      </c>
      <c r="S8" s="2"/>
    </row>
    <row r="9" spans="1:19" x14ac:dyDescent="0.25">
      <c r="A9" s="3">
        <v>41122</v>
      </c>
      <c r="B9" s="4">
        <v>8052.4</v>
      </c>
      <c r="C9" s="4">
        <f t="shared" si="0"/>
        <v>9649.8641666666699</v>
      </c>
      <c r="D9" s="4">
        <f t="shared" si="8"/>
        <v>8067.8250000000007</v>
      </c>
      <c r="E9" s="4">
        <f t="shared" si="1"/>
        <v>8086.2</v>
      </c>
      <c r="G9" s="4">
        <f t="shared" si="2"/>
        <v>7960.4384896000029</v>
      </c>
      <c r="H9" s="4">
        <f t="shared" si="3"/>
        <v>48.773252799999788</v>
      </c>
      <c r="I9" s="4">
        <f t="shared" si="4"/>
        <v>7937.4481120000037</v>
      </c>
      <c r="J9" s="4"/>
      <c r="K9" s="2"/>
      <c r="L9" s="2"/>
      <c r="M9" s="2"/>
      <c r="N9" s="2"/>
      <c r="O9" s="2"/>
      <c r="P9" s="2">
        <f t="shared" si="7"/>
        <v>232.53743999999551</v>
      </c>
      <c r="Q9" s="2">
        <f t="shared" si="5"/>
        <v>232.53743999999551</v>
      </c>
      <c r="R9" s="2">
        <f t="shared" si="6"/>
        <v>54073.661001751512</v>
      </c>
      <c r="S9" s="2"/>
    </row>
    <row r="10" spans="1:19" x14ac:dyDescent="0.25">
      <c r="A10" s="3">
        <v>41153</v>
      </c>
      <c r="B10" s="4">
        <v>8044.4</v>
      </c>
      <c r="C10" s="4">
        <f t="shared" si="0"/>
        <v>9649.8641666666699</v>
      </c>
      <c r="D10" s="4">
        <f t="shared" si="8"/>
        <v>8067.9</v>
      </c>
      <c r="E10" s="4">
        <f t="shared" si="1"/>
        <v>8052.4</v>
      </c>
      <c r="G10" s="4">
        <f t="shared" si="2"/>
        <v>8016.2493939200021</v>
      </c>
      <c r="H10" s="4">
        <f t="shared" si="3"/>
        <v>52.292078559999538</v>
      </c>
      <c r="I10" s="4">
        <f t="shared" si="4"/>
        <v>8009.2117424000025</v>
      </c>
      <c r="J10" s="4"/>
      <c r="K10" s="2"/>
      <c r="L10" s="2"/>
      <c r="M10" s="2"/>
      <c r="N10" s="2"/>
      <c r="O10" s="2"/>
      <c r="P10" s="2">
        <f t="shared" si="7"/>
        <v>114.95188799999596</v>
      </c>
      <c r="Q10" s="2">
        <f t="shared" si="5"/>
        <v>114.95188799999596</v>
      </c>
      <c r="R10" s="2">
        <f t="shared" si="6"/>
        <v>13213.936554763615</v>
      </c>
      <c r="S10" s="2"/>
    </row>
    <row r="11" spans="1:19" x14ac:dyDescent="0.25">
      <c r="A11" s="3">
        <v>41183</v>
      </c>
      <c r="B11" s="4">
        <v>8077.6</v>
      </c>
      <c r="C11" s="4">
        <f t="shared" si="0"/>
        <v>9649.8641666666699</v>
      </c>
      <c r="D11" s="4">
        <f t="shared" si="8"/>
        <v>8062.4249999999993</v>
      </c>
      <c r="E11" s="4">
        <f t="shared" si="1"/>
        <v>8044.4</v>
      </c>
      <c r="G11" s="4">
        <f t="shared" si="2"/>
        <v>8070.3531779840023</v>
      </c>
      <c r="H11" s="4">
        <f t="shared" si="3"/>
        <v>53.197931311999838</v>
      </c>
      <c r="I11" s="4">
        <f t="shared" si="4"/>
        <v>8068.5414724800021</v>
      </c>
      <c r="J11" s="4"/>
      <c r="K11" s="2"/>
      <c r="L11" s="2"/>
      <c r="M11" s="2"/>
      <c r="N11" s="2"/>
      <c r="O11" s="2"/>
      <c r="P11" s="2">
        <f t="shared" si="7"/>
        <v>35.188257599997087</v>
      </c>
      <c r="Q11" s="2">
        <f t="shared" si="5"/>
        <v>35.188257599997087</v>
      </c>
      <c r="R11" s="2">
        <f t="shared" si="6"/>
        <v>1238.2134729237528</v>
      </c>
      <c r="S11" s="2"/>
    </row>
    <row r="12" spans="1:19" x14ac:dyDescent="0.25">
      <c r="A12" s="3">
        <v>41214</v>
      </c>
      <c r="B12" s="4">
        <v>8113.3</v>
      </c>
      <c r="C12" s="4">
        <f t="shared" si="0"/>
        <v>9649.8641666666699</v>
      </c>
      <c r="D12" s="4">
        <f t="shared" si="8"/>
        <v>8065.15</v>
      </c>
      <c r="E12" s="4">
        <f t="shared" si="1"/>
        <v>8077.6</v>
      </c>
      <c r="G12" s="4">
        <f t="shared" si="2"/>
        <v>8121.5008874368023</v>
      </c>
      <c r="H12" s="4">
        <f t="shared" si="3"/>
        <v>52.172820382399905</v>
      </c>
      <c r="I12" s="4">
        <f t="shared" si="4"/>
        <v>8123.5511092960023</v>
      </c>
      <c r="J12" s="4"/>
      <c r="K12" s="2"/>
      <c r="L12" s="2"/>
      <c r="M12" s="2"/>
      <c r="N12" s="2"/>
      <c r="O12" s="2"/>
      <c r="P12" s="2">
        <f t="shared" si="7"/>
        <v>9.0585275199982789</v>
      </c>
      <c r="Q12" s="2">
        <f t="shared" si="5"/>
        <v>9.0585275199982789</v>
      </c>
      <c r="R12" s="2">
        <f t="shared" si="6"/>
        <v>82.05692083056617</v>
      </c>
      <c r="S12" s="2"/>
    </row>
    <row r="13" spans="1:19" x14ac:dyDescent="0.25">
      <c r="A13" s="3">
        <v>41244</v>
      </c>
      <c r="B13" s="4">
        <v>8123.7</v>
      </c>
      <c r="C13" s="4">
        <f t="shared" si="0"/>
        <v>9649.8641666666699</v>
      </c>
      <c r="D13" s="4">
        <f t="shared" si="8"/>
        <v>8071.9250000000002</v>
      </c>
      <c r="E13" s="4">
        <f t="shared" si="1"/>
        <v>8113.3</v>
      </c>
      <c r="G13" s="4">
        <f t="shared" si="2"/>
        <v>8163.678966255362</v>
      </c>
      <c r="H13" s="4">
        <f t="shared" si="3"/>
        <v>47.175449600479801</v>
      </c>
      <c r="I13" s="4">
        <f t="shared" si="4"/>
        <v>8173.6737078192018</v>
      </c>
      <c r="J13" s="4"/>
      <c r="K13" s="2"/>
      <c r="L13" s="2"/>
      <c r="M13" s="2"/>
      <c r="N13" s="2"/>
      <c r="O13" s="2"/>
      <c r="P13" s="2">
        <f t="shared" si="7"/>
        <v>-10.251109296002141</v>
      </c>
      <c r="Q13" s="2">
        <f t="shared" si="5"/>
        <v>10.251109296002141</v>
      </c>
      <c r="R13" s="2">
        <f t="shared" si="6"/>
        <v>105.08524179858152</v>
      </c>
      <c r="S13" s="2"/>
    </row>
    <row r="14" spans="1:19" x14ac:dyDescent="0.25">
      <c r="A14" s="3">
        <v>41275</v>
      </c>
      <c r="B14" s="4">
        <v>8275.1</v>
      </c>
      <c r="C14" s="4">
        <f t="shared" si="0"/>
        <v>9649.8641666666699</v>
      </c>
      <c r="D14" s="4">
        <f t="shared" si="8"/>
        <v>8089.75</v>
      </c>
      <c r="E14" s="4">
        <f t="shared" si="1"/>
        <v>8123.7</v>
      </c>
      <c r="G14" s="4">
        <f t="shared" si="2"/>
        <v>8223.7035326846744</v>
      </c>
      <c r="H14" s="4">
        <f t="shared" si="3"/>
        <v>53.600008014896133</v>
      </c>
      <c r="I14" s="4">
        <f t="shared" si="4"/>
        <v>8210.8544158558416</v>
      </c>
      <c r="J14" s="4"/>
      <c r="K14" s="2"/>
      <c r="L14" s="2"/>
      <c r="M14" s="2"/>
      <c r="N14" s="2"/>
      <c r="O14" s="2"/>
      <c r="P14" s="2">
        <f t="shared" si="7"/>
        <v>-49.973707819201991</v>
      </c>
      <c r="Q14" s="2">
        <f t="shared" si="5"/>
        <v>49.973707819201991</v>
      </c>
      <c r="R14" s="2">
        <f t="shared" si="6"/>
        <v>2497.3714731989703</v>
      </c>
      <c r="S14" s="2"/>
    </row>
    <row r="15" spans="1:19" x14ac:dyDescent="0.25">
      <c r="A15" s="3">
        <v>41306</v>
      </c>
      <c r="B15" s="4">
        <v>8297.1</v>
      </c>
      <c r="C15" s="4">
        <f t="shared" si="0"/>
        <v>9649.8641666666699</v>
      </c>
      <c r="D15" s="4">
        <f t="shared" si="8"/>
        <v>8147.4250000000011</v>
      </c>
      <c r="E15" s="4">
        <f t="shared" si="1"/>
        <v>8275.1</v>
      </c>
      <c r="G15" s="4">
        <f t="shared" si="2"/>
        <v>8281.2628325596579</v>
      </c>
      <c r="H15" s="4">
        <f t="shared" si="3"/>
        <v>55.579653944939807</v>
      </c>
      <c r="I15" s="4">
        <f t="shared" si="4"/>
        <v>8277.3035406995714</v>
      </c>
      <c r="J15" s="4"/>
      <c r="K15" s="2"/>
      <c r="L15" s="2"/>
      <c r="M15" s="2"/>
      <c r="N15" s="2"/>
      <c r="O15" s="2"/>
      <c r="P15" s="2">
        <f t="shared" si="7"/>
        <v>64.245584144158784</v>
      </c>
      <c r="Q15" s="2">
        <f t="shared" si="5"/>
        <v>64.245584144158784</v>
      </c>
      <c r="R15" s="2">
        <f t="shared" si="6"/>
        <v>4127.4950820241866</v>
      </c>
      <c r="S15" s="2"/>
    </row>
    <row r="16" spans="1:19" x14ac:dyDescent="0.25">
      <c r="A16" s="3">
        <v>41334</v>
      </c>
      <c r="B16" s="4">
        <v>8255.2000000000007</v>
      </c>
      <c r="C16" s="4">
        <f t="shared" si="0"/>
        <v>9649.8641666666699</v>
      </c>
      <c r="D16" s="4">
        <f t="shared" si="8"/>
        <v>8202.2999999999993</v>
      </c>
      <c r="E16" s="4">
        <f t="shared" si="1"/>
        <v>8297.1</v>
      </c>
      <c r="G16" s="4">
        <f t="shared" si="2"/>
        <v>8320.5139892036786</v>
      </c>
      <c r="H16" s="4">
        <f t="shared" si="3"/>
        <v>47.415405294480273</v>
      </c>
      <c r="I16" s="4">
        <f t="shared" si="4"/>
        <v>8336.8424865045981</v>
      </c>
      <c r="J16" s="4"/>
      <c r="K16" s="2"/>
      <c r="L16" s="2"/>
      <c r="M16" s="2"/>
      <c r="N16" s="2"/>
      <c r="O16" s="2"/>
      <c r="P16" s="2">
        <f t="shared" si="7"/>
        <v>19.796459300428978</v>
      </c>
      <c r="Q16" s="2">
        <f t="shared" si="5"/>
        <v>19.796459300428978</v>
      </c>
      <c r="R16" s="2">
        <f t="shared" si="6"/>
        <v>391.89980083354101</v>
      </c>
      <c r="S16" s="2"/>
    </row>
    <row r="17" spans="1:19" x14ac:dyDescent="0.25">
      <c r="A17" s="3">
        <v>41365</v>
      </c>
      <c r="B17" s="4">
        <v>8292.6</v>
      </c>
      <c r="C17" s="4">
        <f t="shared" si="0"/>
        <v>9649.8641666666699</v>
      </c>
      <c r="D17" s="4">
        <f t="shared" si="8"/>
        <v>8237.7750000000015</v>
      </c>
      <c r="E17" s="4">
        <f t="shared" si="1"/>
        <v>8255.2000000000007</v>
      </c>
      <c r="G17" s="4">
        <f t="shared" si="2"/>
        <v>8352.8635155985266</v>
      </c>
      <c r="H17" s="4">
        <f t="shared" si="3"/>
        <v>39.882465844664139</v>
      </c>
      <c r="I17" s="4">
        <f t="shared" si="4"/>
        <v>8367.9293944981582</v>
      </c>
      <c r="J17" s="4"/>
      <c r="K17" s="2"/>
      <c r="L17" s="2"/>
      <c r="M17" s="2"/>
      <c r="N17" s="2"/>
      <c r="O17" s="2"/>
      <c r="P17" s="2">
        <f t="shared" si="7"/>
        <v>-81.6424865045974</v>
      </c>
      <c r="Q17" s="2">
        <f t="shared" si="5"/>
        <v>81.6424865045974</v>
      </c>
      <c r="R17" s="2">
        <f t="shared" si="6"/>
        <v>6665.4956026533682</v>
      </c>
      <c r="S17" s="2"/>
    </row>
    <row r="18" spans="1:19" x14ac:dyDescent="0.25">
      <c r="A18" s="3">
        <v>41395</v>
      </c>
      <c r="B18" s="4">
        <v>8311</v>
      </c>
      <c r="C18" s="4">
        <f t="shared" si="0"/>
        <v>9649.8641666666699</v>
      </c>
      <c r="D18" s="4">
        <f t="shared" si="8"/>
        <v>8280</v>
      </c>
      <c r="E18" s="4">
        <f t="shared" si="1"/>
        <v>8292.6</v>
      </c>
      <c r="G18" s="4">
        <f t="shared" si="2"/>
        <v>8376.3967851545531</v>
      </c>
      <c r="H18" s="4">
        <f t="shared" si="3"/>
        <v>31.707867700345282</v>
      </c>
      <c r="I18" s="4">
        <f t="shared" si="4"/>
        <v>8392.7459814431913</v>
      </c>
      <c r="J18" s="4"/>
      <c r="K18" s="2"/>
      <c r="L18" s="2"/>
      <c r="M18" s="2"/>
      <c r="N18" s="2"/>
      <c r="O18" s="2"/>
      <c r="P18" s="2">
        <f t="shared" si="7"/>
        <v>-75.329394498157853</v>
      </c>
      <c r="Q18" s="2">
        <f t="shared" si="5"/>
        <v>75.329394498157853</v>
      </c>
      <c r="R18" s="2">
        <f t="shared" si="6"/>
        <v>5674.5176754590948</v>
      </c>
      <c r="S18" s="2"/>
    </row>
    <row r="19" spans="1:19" x14ac:dyDescent="0.25">
      <c r="A19" s="3">
        <v>41426</v>
      </c>
      <c r="B19" s="4">
        <v>8334.5</v>
      </c>
      <c r="C19" s="4">
        <f t="shared" si="0"/>
        <v>9649.8641666666699</v>
      </c>
      <c r="D19" s="4">
        <f t="shared" si="8"/>
        <v>8288.9750000000004</v>
      </c>
      <c r="E19" s="4">
        <f t="shared" si="1"/>
        <v>8311</v>
      </c>
      <c r="G19" s="4">
        <f t="shared" si="2"/>
        <v>8393.3837222839193</v>
      </c>
      <c r="H19" s="4">
        <f t="shared" si="3"/>
        <v>24.34740241485574</v>
      </c>
      <c r="I19" s="4">
        <f t="shared" si="4"/>
        <v>8408.1046528548977</v>
      </c>
      <c r="J19" s="4"/>
      <c r="K19" s="2"/>
      <c r="L19" s="2"/>
      <c r="M19" s="2"/>
      <c r="N19" s="2"/>
      <c r="O19" s="2"/>
      <c r="P19" s="2">
        <f t="shared" si="7"/>
        <v>-81.74598144319134</v>
      </c>
      <c r="Q19" s="2">
        <f t="shared" si="5"/>
        <v>81.74598144319134</v>
      </c>
      <c r="R19" s="2">
        <f t="shared" si="6"/>
        <v>6682.4054821105829</v>
      </c>
      <c r="S19" s="2"/>
    </row>
    <row r="20" spans="1:19" x14ac:dyDescent="0.25">
      <c r="A20" s="3">
        <v>41456</v>
      </c>
      <c r="B20" s="4">
        <v>8430</v>
      </c>
      <c r="C20" s="4">
        <f t="shared" si="0"/>
        <v>9649.8641666666699</v>
      </c>
      <c r="D20" s="4">
        <f t="shared" si="8"/>
        <v>8298.3250000000007</v>
      </c>
      <c r="E20" s="4">
        <f t="shared" si="1"/>
        <v>8334.5</v>
      </c>
      <c r="G20" s="4">
        <f t="shared" si="2"/>
        <v>8420.1848997590205</v>
      </c>
      <c r="H20" s="4">
        <f t="shared" si="3"/>
        <v>25.574289944978474</v>
      </c>
      <c r="I20" s="4">
        <f t="shared" si="4"/>
        <v>8417.7311246987756</v>
      </c>
      <c r="J20" s="4"/>
      <c r="K20" s="2"/>
      <c r="L20" s="2"/>
      <c r="M20" s="2"/>
      <c r="N20" s="2"/>
      <c r="O20" s="2"/>
      <c r="P20" s="2">
        <f t="shared" si="7"/>
        <v>-73.604652854897722</v>
      </c>
      <c r="Q20" s="2">
        <f t="shared" si="5"/>
        <v>73.604652854897722</v>
      </c>
      <c r="R20" s="2">
        <f t="shared" si="6"/>
        <v>5417.6449218900034</v>
      </c>
      <c r="S20" s="2"/>
    </row>
    <row r="21" spans="1:19" x14ac:dyDescent="0.25">
      <c r="A21" s="3">
        <v>41487</v>
      </c>
      <c r="B21" s="4">
        <v>8463.2999999999993</v>
      </c>
      <c r="C21" s="4">
        <f t="shared" si="0"/>
        <v>9649.8641666666699</v>
      </c>
      <c r="D21" s="4">
        <f t="shared" si="8"/>
        <v>8342.0249999999996</v>
      </c>
      <c r="E21" s="4">
        <f t="shared" si="1"/>
        <v>8430</v>
      </c>
      <c r="G21" s="4">
        <f t="shared" si="2"/>
        <v>8449.2673517631993</v>
      </c>
      <c r="H21" s="4">
        <f t="shared" si="3"/>
        <v>27.328370974578625</v>
      </c>
      <c r="I21" s="4">
        <f t="shared" si="4"/>
        <v>8445.7591897039983</v>
      </c>
      <c r="J21" s="4"/>
      <c r="K21" s="2"/>
      <c r="L21" s="2"/>
      <c r="M21" s="2"/>
      <c r="N21" s="2"/>
      <c r="O21" s="2"/>
      <c r="P21" s="2">
        <f t="shared" si="7"/>
        <v>12.268875301224398</v>
      </c>
      <c r="Q21" s="2">
        <f t="shared" si="5"/>
        <v>12.268875301224398</v>
      </c>
      <c r="R21" s="2">
        <f t="shared" si="6"/>
        <v>150.52530115699406</v>
      </c>
      <c r="S21" s="2"/>
    </row>
    <row r="22" spans="1:19" x14ac:dyDescent="0.25">
      <c r="A22" s="3">
        <v>41518</v>
      </c>
      <c r="B22" s="4">
        <v>8438.5</v>
      </c>
      <c r="C22" s="4">
        <f t="shared" si="0"/>
        <v>9649.8641666666699</v>
      </c>
      <c r="D22" s="4">
        <f t="shared" si="8"/>
        <v>8384.7000000000007</v>
      </c>
      <c r="E22" s="4">
        <f t="shared" si="1"/>
        <v>8463.2999999999993</v>
      </c>
      <c r="G22" s="4">
        <f t="shared" si="2"/>
        <v>8468.9765781902242</v>
      </c>
      <c r="H22" s="4">
        <f t="shared" si="3"/>
        <v>23.518798700801806</v>
      </c>
      <c r="I22" s="4">
        <f t="shared" si="4"/>
        <v>8476.5957227377785</v>
      </c>
      <c r="J22" s="4"/>
      <c r="K22" s="2"/>
      <c r="L22" s="2"/>
      <c r="M22" s="2"/>
      <c r="N22" s="2"/>
      <c r="O22" s="2"/>
      <c r="P22" s="2">
        <f t="shared" si="7"/>
        <v>17.540810296000927</v>
      </c>
      <c r="Q22" s="2">
        <f t="shared" si="5"/>
        <v>17.540810296000927</v>
      </c>
      <c r="R22" s="2">
        <f t="shared" si="6"/>
        <v>307.68002584029216</v>
      </c>
      <c r="S22" s="2"/>
    </row>
    <row r="23" spans="1:19" x14ac:dyDescent="0.25">
      <c r="A23" s="3">
        <v>41548</v>
      </c>
      <c r="B23" s="4">
        <v>8452.2000000000007</v>
      </c>
      <c r="C23" s="4">
        <f t="shared" si="0"/>
        <v>9649.8641666666699</v>
      </c>
      <c r="D23" s="4">
        <f t="shared" si="8"/>
        <v>8416.5750000000007</v>
      </c>
      <c r="E23" s="4">
        <f t="shared" si="1"/>
        <v>8438.5</v>
      </c>
      <c r="G23" s="4">
        <f t="shared" si="2"/>
        <v>8484.4363015128201</v>
      </c>
      <c r="H23" s="4">
        <f t="shared" si="3"/>
        <v>19.489261011698851</v>
      </c>
      <c r="I23" s="4">
        <f t="shared" si="4"/>
        <v>8492.4953768910254</v>
      </c>
      <c r="J23" s="4"/>
      <c r="K23" s="2"/>
      <c r="L23" s="2"/>
      <c r="M23" s="2"/>
      <c r="N23" s="2"/>
      <c r="O23" s="2"/>
      <c r="P23" s="2">
        <f t="shared" si="7"/>
        <v>-38.095722737778487</v>
      </c>
      <c r="Q23" s="2">
        <f t="shared" si="5"/>
        <v>38.095722737778487</v>
      </c>
      <c r="R23" s="2">
        <f t="shared" si="6"/>
        <v>1451.2840909136928</v>
      </c>
      <c r="S23" s="2"/>
    </row>
    <row r="24" spans="1:19" x14ac:dyDescent="0.25">
      <c r="A24" s="3">
        <v>41579</v>
      </c>
      <c r="B24" s="4">
        <v>8510.5</v>
      </c>
      <c r="C24" s="4">
        <f t="shared" si="0"/>
        <v>9649.8641666666699</v>
      </c>
      <c r="D24" s="4">
        <f t="shared" si="8"/>
        <v>8446</v>
      </c>
      <c r="E24" s="4">
        <f t="shared" si="1"/>
        <v>8452.2000000000007</v>
      </c>
      <c r="G24" s="4">
        <f t="shared" si="2"/>
        <v>8505.2404500196153</v>
      </c>
      <c r="H24" s="4">
        <f t="shared" si="3"/>
        <v>20.146704759247012</v>
      </c>
      <c r="I24" s="4">
        <f t="shared" si="4"/>
        <v>8503.9255625245187</v>
      </c>
      <c r="J24" s="4"/>
      <c r="K24" s="2"/>
      <c r="L24" s="2"/>
      <c r="M24" s="2"/>
      <c r="N24" s="2"/>
      <c r="O24" s="2"/>
      <c r="P24" s="2">
        <f t="shared" si="7"/>
        <v>-40.295376891024716</v>
      </c>
      <c r="Q24" s="2">
        <f t="shared" si="5"/>
        <v>40.295376891024716</v>
      </c>
      <c r="R24" s="2">
        <f t="shared" si="6"/>
        <v>1623.7173987897288</v>
      </c>
      <c r="S24" s="2"/>
    </row>
    <row r="25" spans="1:19" x14ac:dyDescent="0.25">
      <c r="A25" s="3">
        <v>41609</v>
      </c>
      <c r="B25" s="4">
        <v>8477.6</v>
      </c>
      <c r="C25" s="4">
        <f t="shared" si="0"/>
        <v>9649.8641666666699</v>
      </c>
      <c r="D25" s="4">
        <f t="shared" si="8"/>
        <v>8466.125</v>
      </c>
      <c r="E25" s="4">
        <f t="shared" si="1"/>
        <v>8510.5</v>
      </c>
      <c r="G25" s="4">
        <f t="shared" si="2"/>
        <v>8515.8297238230898</v>
      </c>
      <c r="H25" s="4">
        <f t="shared" si="3"/>
        <v>15.367989281360755</v>
      </c>
      <c r="I25" s="4">
        <f t="shared" si="4"/>
        <v>8525.3871547788622</v>
      </c>
      <c r="J25" s="4"/>
      <c r="K25" s="2"/>
      <c r="L25" s="2"/>
      <c r="M25" s="2"/>
      <c r="N25" s="2"/>
      <c r="O25" s="2"/>
      <c r="P25" s="2">
        <f t="shared" si="7"/>
        <v>6.574437475481318</v>
      </c>
      <c r="Q25" s="2">
        <f t="shared" si="5"/>
        <v>6.574437475481318</v>
      </c>
      <c r="R25" s="2">
        <f t="shared" si="6"/>
        <v>43.223228119013164</v>
      </c>
      <c r="S25" s="2"/>
    </row>
    <row r="26" spans="1:19" x14ac:dyDescent="0.25">
      <c r="A26" s="3">
        <v>41640</v>
      </c>
      <c r="B26" s="4">
        <v>8477.7000000000007</v>
      </c>
      <c r="C26" s="4">
        <f t="shared" si="0"/>
        <v>9649.8641666666699</v>
      </c>
      <c r="D26" s="4">
        <f t="shared" si="8"/>
        <v>8469.7000000000007</v>
      </c>
      <c r="E26" s="4">
        <f t="shared" si="1"/>
        <v>8477.6</v>
      </c>
      <c r="G26" s="4">
        <f t="shared" si="2"/>
        <v>8520.4981704835627</v>
      </c>
      <c r="H26" s="4">
        <f t="shared" si="3"/>
        <v>10.018217970916833</v>
      </c>
      <c r="I26" s="4">
        <f t="shared" si="4"/>
        <v>8531.1977131044514</v>
      </c>
      <c r="J26" s="4"/>
      <c r="K26" s="2"/>
      <c r="L26" s="2"/>
      <c r="M26" s="2"/>
      <c r="N26" s="2"/>
      <c r="O26" s="2"/>
      <c r="P26" s="2">
        <f t="shared" si="7"/>
        <v>-47.787154778861805</v>
      </c>
      <c r="Q26" s="2">
        <f t="shared" si="5"/>
        <v>47.787154778861805</v>
      </c>
      <c r="R26" s="2">
        <f t="shared" si="6"/>
        <v>2283.6121618588945</v>
      </c>
      <c r="S26" s="2"/>
    </row>
    <row r="27" spans="1:19" x14ac:dyDescent="0.25">
      <c r="A27" s="3">
        <v>41671</v>
      </c>
      <c r="B27" s="4">
        <v>8513.9</v>
      </c>
      <c r="C27" s="4">
        <f t="shared" si="0"/>
        <v>9649.8641666666699</v>
      </c>
      <c r="D27" s="4">
        <f t="shared" si="8"/>
        <v>8479.5</v>
      </c>
      <c r="E27" s="4">
        <f t="shared" si="1"/>
        <v>8477.7000000000007</v>
      </c>
      <c r="G27" s="4">
        <f t="shared" si="2"/>
        <v>8527.1931107635846</v>
      </c>
      <c r="H27" s="4">
        <f t="shared" si="3"/>
        <v>8.3565791254693718</v>
      </c>
      <c r="I27" s="4">
        <f t="shared" si="4"/>
        <v>8530.51638845448</v>
      </c>
      <c r="J27" s="4"/>
      <c r="K27" s="2"/>
      <c r="L27" s="2"/>
      <c r="M27" s="2"/>
      <c r="N27" s="2"/>
      <c r="O27" s="2"/>
      <c r="P27" s="2">
        <f t="shared" si="7"/>
        <v>-53.497713104450668</v>
      </c>
      <c r="Q27" s="2">
        <f t="shared" si="5"/>
        <v>53.497713104450668</v>
      </c>
      <c r="R27" s="2">
        <f t="shared" si="6"/>
        <v>2862.0053074061125</v>
      </c>
      <c r="S27" s="2"/>
    </row>
    <row r="28" spans="1:19" x14ac:dyDescent="0.25">
      <c r="A28" s="3">
        <v>41699</v>
      </c>
      <c r="B28" s="4">
        <v>8582.2000000000007</v>
      </c>
      <c r="C28" s="4">
        <f t="shared" si="0"/>
        <v>9649.8641666666699</v>
      </c>
      <c r="D28" s="4">
        <f t="shared" si="8"/>
        <v>8494.9249999999993</v>
      </c>
      <c r="E28" s="4">
        <f t="shared" si="1"/>
        <v>8513.9</v>
      </c>
      <c r="G28" s="4">
        <f t="shared" si="2"/>
        <v>8544.8797519112431</v>
      </c>
      <c r="H28" s="4">
        <f t="shared" si="3"/>
        <v>13.021610136563947</v>
      </c>
      <c r="I28" s="4">
        <f t="shared" si="4"/>
        <v>8535.5496898890542</v>
      </c>
      <c r="J28" s="4"/>
      <c r="K28" s="2"/>
      <c r="L28" s="2"/>
      <c r="M28" s="2"/>
      <c r="N28" s="2"/>
      <c r="O28" s="2"/>
      <c r="P28" s="2">
        <f t="shared" si="7"/>
        <v>-16.61638845448033</v>
      </c>
      <c r="Q28" s="2">
        <f t="shared" si="5"/>
        <v>16.61638845448033</v>
      </c>
      <c r="R28" s="2">
        <f t="shared" si="6"/>
        <v>276.1043652701872</v>
      </c>
      <c r="S28" s="2"/>
    </row>
    <row r="29" spans="1:19" x14ac:dyDescent="0.25">
      <c r="A29" s="3">
        <v>41730</v>
      </c>
      <c r="B29" s="4">
        <v>8610.2000000000007</v>
      </c>
      <c r="C29" s="4">
        <f t="shared" si="0"/>
        <v>9649.8641666666699</v>
      </c>
      <c r="D29" s="4">
        <f t="shared" si="8"/>
        <v>8512.8500000000022</v>
      </c>
      <c r="E29" s="4">
        <f t="shared" si="1"/>
        <v>8582.2000000000007</v>
      </c>
      <c r="G29" s="4">
        <f t="shared" si="2"/>
        <v>8568.361089638247</v>
      </c>
      <c r="H29" s="4">
        <f t="shared" si="3"/>
        <v>18.251473931783899</v>
      </c>
      <c r="I29" s="4">
        <f t="shared" si="4"/>
        <v>8557.9013620478072</v>
      </c>
      <c r="J29" s="4"/>
      <c r="K29" s="2"/>
      <c r="L29" s="2"/>
      <c r="M29" s="2"/>
      <c r="N29" s="2"/>
      <c r="O29" s="2"/>
      <c r="P29" s="2">
        <f t="shared" si="7"/>
        <v>46.650310110946521</v>
      </c>
      <c r="Q29" s="2">
        <f t="shared" si="5"/>
        <v>46.650310110946521</v>
      </c>
      <c r="R29" s="2">
        <f t="shared" si="6"/>
        <v>2176.251433447479</v>
      </c>
      <c r="S29" s="2"/>
    </row>
    <row r="30" spans="1:19" x14ac:dyDescent="0.25">
      <c r="A30" s="3">
        <v>41760</v>
      </c>
      <c r="B30" s="4">
        <v>8637.7000000000007</v>
      </c>
      <c r="C30" s="4">
        <f t="shared" si="0"/>
        <v>9649.8641666666699</v>
      </c>
      <c r="D30" s="4">
        <f t="shared" si="8"/>
        <v>8546</v>
      </c>
      <c r="E30" s="4">
        <f t="shared" si="1"/>
        <v>8610.2000000000007</v>
      </c>
      <c r="G30" s="4">
        <f t="shared" si="2"/>
        <v>8596.8300508560242</v>
      </c>
      <c r="H30" s="4">
        <f t="shared" si="3"/>
        <v>23.360217574780538</v>
      </c>
      <c r="I30" s="4">
        <f t="shared" si="4"/>
        <v>8586.61256357003</v>
      </c>
      <c r="J30" s="4"/>
      <c r="K30" s="2"/>
      <c r="L30" s="2"/>
      <c r="M30" s="2"/>
      <c r="N30" s="2"/>
      <c r="O30" s="2"/>
      <c r="P30" s="2">
        <f t="shared" si="7"/>
        <v>52.298637952193531</v>
      </c>
      <c r="Q30" s="2">
        <f t="shared" si="5"/>
        <v>52.298637952193531</v>
      </c>
      <c r="R30" s="2">
        <f t="shared" si="6"/>
        <v>2735.1475316546175</v>
      </c>
      <c r="S30" s="2"/>
    </row>
    <row r="31" spans="1:19" x14ac:dyDescent="0.25">
      <c r="A31" s="3">
        <v>41791</v>
      </c>
      <c r="B31" s="4">
        <v>8731.7000000000007</v>
      </c>
      <c r="C31" s="4">
        <f t="shared" si="0"/>
        <v>9649.8641666666699</v>
      </c>
      <c r="D31" s="4">
        <f t="shared" si="8"/>
        <v>8586</v>
      </c>
      <c r="E31" s="4">
        <f t="shared" si="1"/>
        <v>8637.7000000000007</v>
      </c>
      <c r="G31" s="4">
        <f t="shared" si="2"/>
        <v>8642.492214744645</v>
      </c>
      <c r="H31" s="4">
        <f t="shared" si="3"/>
        <v>34.511190731700694</v>
      </c>
      <c r="I31" s="4">
        <f t="shared" si="4"/>
        <v>8620.1902684308043</v>
      </c>
      <c r="J31" s="4"/>
      <c r="K31" s="2"/>
      <c r="L31" s="2"/>
      <c r="M31" s="2"/>
      <c r="N31" s="2"/>
      <c r="O31" s="2"/>
      <c r="P31" s="2">
        <f t="shared" si="7"/>
        <v>51.087436429970694</v>
      </c>
      <c r="Q31" s="2">
        <f t="shared" si="5"/>
        <v>51.087436429970694</v>
      </c>
      <c r="R31" s="2">
        <f t="shared" si="6"/>
        <v>2609.926160986297</v>
      </c>
      <c r="S31" s="2"/>
    </row>
    <row r="32" spans="1:19" x14ac:dyDescent="0.25">
      <c r="A32" s="3">
        <v>41821</v>
      </c>
      <c r="B32" s="4">
        <v>8746.5</v>
      </c>
      <c r="C32" s="4">
        <f t="shared" si="0"/>
        <v>9649.8641666666699</v>
      </c>
      <c r="D32" s="4">
        <f t="shared" si="8"/>
        <v>8640.4500000000007</v>
      </c>
      <c r="E32" s="4">
        <f t="shared" si="1"/>
        <v>8731.7000000000007</v>
      </c>
      <c r="G32" s="4">
        <f t="shared" si="2"/>
        <v>8690.9027243810779</v>
      </c>
      <c r="H32" s="4">
        <f t="shared" si="3"/>
        <v>41.460850184066764</v>
      </c>
      <c r="I32" s="4">
        <f t="shared" si="4"/>
        <v>8677.0034054763455</v>
      </c>
      <c r="J32" s="4"/>
      <c r="K32" s="2"/>
      <c r="L32" s="2"/>
      <c r="M32" s="2"/>
      <c r="N32" s="2"/>
      <c r="O32" s="2"/>
      <c r="P32" s="2">
        <f t="shared" si="7"/>
        <v>111.50973156919645</v>
      </c>
      <c r="Q32" s="2">
        <f t="shared" si="5"/>
        <v>111.50973156919645</v>
      </c>
      <c r="R32" s="2">
        <f t="shared" si="6"/>
        <v>12434.420234634246</v>
      </c>
      <c r="S32" s="2"/>
    </row>
    <row r="33" spans="1:19" x14ac:dyDescent="0.25">
      <c r="A33" s="3">
        <v>41852</v>
      </c>
      <c r="B33" s="4">
        <v>8765.1</v>
      </c>
      <c r="C33" s="4">
        <f t="shared" si="0"/>
        <v>9649.8641666666699</v>
      </c>
      <c r="D33" s="4">
        <f t="shared" si="8"/>
        <v>8681.5250000000015</v>
      </c>
      <c r="E33" s="4">
        <f t="shared" si="1"/>
        <v>8746.5</v>
      </c>
      <c r="G33" s="4">
        <f t="shared" si="2"/>
        <v>8738.9108596521164</v>
      </c>
      <c r="H33" s="4">
        <f t="shared" si="3"/>
        <v>44.734492727552663</v>
      </c>
      <c r="I33" s="4">
        <f t="shared" si="4"/>
        <v>8732.3635745651445</v>
      </c>
      <c r="J33" s="4"/>
      <c r="K33" s="2"/>
      <c r="L33" s="2"/>
      <c r="M33" s="2"/>
      <c r="N33" s="2"/>
      <c r="O33" s="2"/>
      <c r="P33" s="2">
        <f t="shared" si="7"/>
        <v>69.496594523654494</v>
      </c>
      <c r="Q33" s="2">
        <f t="shared" si="5"/>
        <v>69.496594523654494</v>
      </c>
      <c r="R33" s="2">
        <f t="shared" si="6"/>
        <v>4829.7766503852436</v>
      </c>
      <c r="S33" s="2"/>
    </row>
    <row r="34" spans="1:19" x14ac:dyDescent="0.25">
      <c r="A34" s="3">
        <v>41883</v>
      </c>
      <c r="B34" s="4">
        <v>8812.7999999999993</v>
      </c>
      <c r="C34" s="4">
        <f t="shared" si="0"/>
        <v>9649.8641666666699</v>
      </c>
      <c r="D34" s="4">
        <f t="shared" si="8"/>
        <v>8720.25</v>
      </c>
      <c r="E34" s="4">
        <f t="shared" si="1"/>
        <v>8765.1</v>
      </c>
      <c r="G34" s="4">
        <f t="shared" si="2"/>
        <v>8789.4762819037369</v>
      </c>
      <c r="H34" s="4">
        <f t="shared" si="3"/>
        <v>47.649957489586569</v>
      </c>
      <c r="I34" s="4">
        <f t="shared" si="4"/>
        <v>8783.6453523796699</v>
      </c>
      <c r="J34" s="4"/>
      <c r="K34" s="2"/>
      <c r="L34" s="2"/>
      <c r="M34" s="2"/>
      <c r="N34" s="2"/>
      <c r="O34" s="2"/>
      <c r="P34" s="2">
        <f t="shared" si="7"/>
        <v>32.736425434855846</v>
      </c>
      <c r="Q34" s="2">
        <f t="shared" si="5"/>
        <v>32.736425434855846</v>
      </c>
      <c r="R34" s="2">
        <f t="shared" si="6"/>
        <v>1071.6735502518768</v>
      </c>
      <c r="S34" s="2"/>
    </row>
    <row r="35" spans="1:19" x14ac:dyDescent="0.25">
      <c r="A35" s="3">
        <v>41913</v>
      </c>
      <c r="B35" s="4">
        <v>8874.4</v>
      </c>
      <c r="C35" s="4">
        <f t="shared" si="0"/>
        <v>9649.8641666666699</v>
      </c>
      <c r="D35" s="4">
        <f t="shared" si="8"/>
        <v>8764.0250000000015</v>
      </c>
      <c r="E35" s="4">
        <f t="shared" si="1"/>
        <v>8812.7999999999993</v>
      </c>
      <c r="G35" s="4">
        <f t="shared" si="2"/>
        <v>8844.5809915146601</v>
      </c>
      <c r="H35" s="4">
        <f t="shared" si="3"/>
        <v>51.377333550254903</v>
      </c>
      <c r="I35" s="4">
        <f t="shared" si="4"/>
        <v>8837.126239393323</v>
      </c>
      <c r="J35" s="4"/>
      <c r="K35" s="2"/>
      <c r="L35" s="2"/>
      <c r="M35" s="2"/>
      <c r="N35" s="2"/>
      <c r="O35" s="2"/>
      <c r="P35" s="2">
        <f t="shared" si="7"/>
        <v>29.154647620329342</v>
      </c>
      <c r="Q35" s="2">
        <f t="shared" si="5"/>
        <v>29.154647620329342</v>
      </c>
      <c r="R35" s="2">
        <f t="shared" si="6"/>
        <v>849.99347786557541</v>
      </c>
      <c r="S35" s="2"/>
    </row>
    <row r="36" spans="1:19" x14ac:dyDescent="0.25">
      <c r="A36" s="3">
        <v>41944</v>
      </c>
      <c r="B36" s="4">
        <v>8859.5</v>
      </c>
      <c r="C36" s="4">
        <f t="shared" si="0"/>
        <v>9649.8641666666699</v>
      </c>
      <c r="D36" s="4">
        <f t="shared" si="8"/>
        <v>8799.6999999999989</v>
      </c>
      <c r="E36" s="4">
        <f t="shared" si="1"/>
        <v>8874.4</v>
      </c>
      <c r="G36" s="4">
        <f t="shared" si="2"/>
        <v>8888.6666600519329</v>
      </c>
      <c r="H36" s="4">
        <f t="shared" si="3"/>
        <v>47.731501043763849</v>
      </c>
      <c r="I36" s="4">
        <f t="shared" si="4"/>
        <v>8895.9583250649157</v>
      </c>
      <c r="J36" s="4"/>
      <c r="K36" s="2"/>
      <c r="L36" s="2"/>
      <c r="M36" s="2"/>
      <c r="N36" s="2"/>
      <c r="O36" s="2"/>
      <c r="P36" s="2">
        <f t="shared" si="7"/>
        <v>37.27376060667666</v>
      </c>
      <c r="Q36" s="2">
        <f t="shared" si="5"/>
        <v>37.27376060667666</v>
      </c>
      <c r="R36" s="2">
        <f t="shared" si="6"/>
        <v>1389.3332297638408</v>
      </c>
      <c r="S36" s="2"/>
    </row>
    <row r="37" spans="1:19" x14ac:dyDescent="0.25">
      <c r="A37" s="3">
        <v>41974</v>
      </c>
      <c r="B37" s="4">
        <v>8842.7000000000007</v>
      </c>
      <c r="C37" s="4">
        <f t="shared" si="0"/>
        <v>9649.8641666666699</v>
      </c>
      <c r="D37" s="4">
        <f t="shared" si="8"/>
        <v>8827.9500000000007</v>
      </c>
      <c r="E37" s="4">
        <f t="shared" si="1"/>
        <v>8859.5</v>
      </c>
      <c r="G37" s="4">
        <f t="shared" si="2"/>
        <v>8917.6585288765582</v>
      </c>
      <c r="H37" s="4">
        <f t="shared" si="3"/>
        <v>38.361684934194557</v>
      </c>
      <c r="I37" s="4">
        <f t="shared" si="4"/>
        <v>8936.3981610956962</v>
      </c>
      <c r="J37" s="4"/>
      <c r="K37" s="2"/>
      <c r="L37" s="2"/>
      <c r="M37" s="2"/>
      <c r="N37" s="2"/>
      <c r="O37" s="2"/>
      <c r="P37" s="2">
        <f t="shared" si="7"/>
        <v>-36.458325064915698</v>
      </c>
      <c r="Q37" s="2">
        <f t="shared" si="5"/>
        <v>36.458325064915698</v>
      </c>
      <c r="R37" s="2">
        <f t="shared" si="6"/>
        <v>1329.2094665390603</v>
      </c>
      <c r="S37" s="2"/>
    </row>
    <row r="38" spans="1:19" x14ac:dyDescent="0.25">
      <c r="A38" s="3">
        <v>42005</v>
      </c>
      <c r="B38" s="4">
        <v>8933.2000000000007</v>
      </c>
      <c r="C38" s="4">
        <f t="shared" si="0"/>
        <v>9649.8641666666699</v>
      </c>
      <c r="D38" s="4">
        <f t="shared" si="8"/>
        <v>8847.3499999999985</v>
      </c>
      <c r="E38" s="4">
        <f t="shared" si="1"/>
        <v>8842.7000000000007</v>
      </c>
      <c r="G38" s="4">
        <f t="shared" si="2"/>
        <v>8951.4561710486014</v>
      </c>
      <c r="H38" s="4">
        <f t="shared" si="3"/>
        <v>36.079663553118877</v>
      </c>
      <c r="I38" s="4">
        <f t="shared" si="4"/>
        <v>8956.0202138107525</v>
      </c>
      <c r="J38" s="4"/>
      <c r="K38" s="2"/>
      <c r="L38" s="2"/>
      <c r="M38" s="2"/>
      <c r="N38" s="2"/>
      <c r="O38" s="2"/>
      <c r="P38" s="2">
        <f t="shared" si="7"/>
        <v>-93.698161095695468</v>
      </c>
      <c r="Q38" s="2">
        <f t="shared" si="5"/>
        <v>93.698161095695468</v>
      </c>
      <c r="R38" s="2">
        <f t="shared" si="6"/>
        <v>8779.3453927149003</v>
      </c>
      <c r="S38" s="2"/>
    </row>
    <row r="39" spans="1:19" x14ac:dyDescent="0.25">
      <c r="A39" s="3">
        <v>42036</v>
      </c>
      <c r="B39" s="4">
        <v>8972.1</v>
      </c>
      <c r="C39" s="4">
        <f t="shared" si="0"/>
        <v>9649.8641666666699</v>
      </c>
      <c r="D39" s="4">
        <f t="shared" si="8"/>
        <v>8877.4500000000007</v>
      </c>
      <c r="E39" s="4">
        <f t="shared" si="1"/>
        <v>8933.2000000000007</v>
      </c>
      <c r="G39" s="4">
        <f t="shared" si="2"/>
        <v>8984.4486676813758</v>
      </c>
      <c r="H39" s="4">
        <f t="shared" si="3"/>
        <v>34.536080092946648</v>
      </c>
      <c r="I39" s="4">
        <f t="shared" si="4"/>
        <v>8987.5358346017201</v>
      </c>
      <c r="J39" s="4"/>
      <c r="K39" s="2"/>
      <c r="L39" s="2"/>
      <c r="M39" s="2"/>
      <c r="N39" s="2"/>
      <c r="O39" s="2"/>
      <c r="P39" s="2">
        <f t="shared" si="7"/>
        <v>-22.820213810751738</v>
      </c>
      <c r="Q39" s="2">
        <f t="shared" si="5"/>
        <v>22.820213810751738</v>
      </c>
      <c r="R39" s="2">
        <f t="shared" si="6"/>
        <v>520.76215836842437</v>
      </c>
      <c r="S39" s="2"/>
    </row>
    <row r="40" spans="1:19" x14ac:dyDescent="0.25">
      <c r="A40" s="3">
        <v>42064</v>
      </c>
      <c r="B40" s="4">
        <v>9022.5</v>
      </c>
      <c r="C40" s="4">
        <f t="shared" si="0"/>
        <v>9649.8641666666699</v>
      </c>
      <c r="D40" s="4">
        <f t="shared" si="8"/>
        <v>8901.875</v>
      </c>
      <c r="E40" s="4">
        <f t="shared" si="1"/>
        <v>8972.1</v>
      </c>
      <c r="G40" s="4">
        <f t="shared" si="2"/>
        <v>9019.6877982194583</v>
      </c>
      <c r="H40" s="4">
        <f t="shared" si="3"/>
        <v>34.887605315514556</v>
      </c>
      <c r="I40" s="4">
        <f t="shared" si="4"/>
        <v>9018.9847477743224</v>
      </c>
      <c r="J40" s="4"/>
      <c r="K40" s="2"/>
      <c r="L40" s="2"/>
      <c r="M40" s="2"/>
      <c r="N40" s="2"/>
      <c r="O40" s="2"/>
      <c r="P40" s="2">
        <f t="shared" si="7"/>
        <v>-15.435834601719762</v>
      </c>
      <c r="Q40" s="2">
        <f t="shared" si="5"/>
        <v>15.435834601719762</v>
      </c>
      <c r="R40" s="2">
        <f t="shared" si="6"/>
        <v>238.26498985164909</v>
      </c>
      <c r="S40" s="2"/>
    </row>
    <row r="41" spans="1:19" x14ac:dyDescent="0.25">
      <c r="A41" s="3">
        <v>42095</v>
      </c>
      <c r="B41" s="4">
        <v>9008.4</v>
      </c>
      <c r="C41" s="4">
        <f t="shared" si="0"/>
        <v>9649.8641666666699</v>
      </c>
      <c r="D41" s="4">
        <f t="shared" si="8"/>
        <v>8942.625</v>
      </c>
      <c r="E41" s="4">
        <f t="shared" si="1"/>
        <v>9022.5</v>
      </c>
      <c r="G41" s="4">
        <f t="shared" si="2"/>
        <v>9045.3403228279785</v>
      </c>
      <c r="H41" s="4">
        <f t="shared" si="3"/>
        <v>30.270064962017404</v>
      </c>
      <c r="I41" s="4">
        <f t="shared" si="4"/>
        <v>9054.5754035349728</v>
      </c>
      <c r="J41" s="4"/>
      <c r="K41" s="2"/>
      <c r="L41" s="2"/>
      <c r="M41" s="2"/>
      <c r="N41" s="2"/>
      <c r="O41" s="2"/>
      <c r="P41" s="2">
        <f t="shared" si="7"/>
        <v>3.5152522256776138</v>
      </c>
      <c r="Q41" s="2">
        <f t="shared" si="5"/>
        <v>3.5152522256776138</v>
      </c>
      <c r="R41" s="2">
        <f t="shared" si="6"/>
        <v>12.356998210131417</v>
      </c>
      <c r="S41" s="2"/>
    </row>
    <row r="42" spans="1:19" x14ac:dyDescent="0.25">
      <c r="A42" s="3">
        <v>42125</v>
      </c>
      <c r="B42" s="4">
        <v>9009.7000000000007</v>
      </c>
      <c r="C42" s="4">
        <f t="shared" si="0"/>
        <v>9649.8641666666699</v>
      </c>
      <c r="D42" s="4">
        <f t="shared" si="8"/>
        <v>8984.0500000000011</v>
      </c>
      <c r="E42" s="4">
        <f t="shared" si="1"/>
        <v>9008.4</v>
      </c>
      <c r="G42" s="4">
        <f t="shared" si="2"/>
        <v>9062.4283102319987</v>
      </c>
      <c r="H42" s="4">
        <f t="shared" si="3"/>
        <v>23.679026183018784</v>
      </c>
      <c r="I42" s="4">
        <f t="shared" si="4"/>
        <v>9075.6103877899968</v>
      </c>
      <c r="J42" s="4"/>
      <c r="K42" s="2"/>
      <c r="L42" s="2"/>
      <c r="M42" s="2"/>
      <c r="N42" s="2"/>
      <c r="O42" s="2"/>
      <c r="P42" s="2">
        <f t="shared" si="7"/>
        <v>-46.175403534973157</v>
      </c>
      <c r="Q42" s="2">
        <f t="shared" si="5"/>
        <v>46.175403534973157</v>
      </c>
      <c r="R42" s="2">
        <f t="shared" si="6"/>
        <v>2132.1678916176115</v>
      </c>
      <c r="S42" s="2"/>
    </row>
    <row r="43" spans="1:19" x14ac:dyDescent="0.25">
      <c r="A43" s="3">
        <v>42156</v>
      </c>
      <c r="B43" s="4">
        <v>9028.2999999999993</v>
      </c>
      <c r="C43" s="4">
        <f t="shared" si="0"/>
        <v>9649.8641666666699</v>
      </c>
      <c r="D43" s="4">
        <f t="shared" si="8"/>
        <v>9003.1749999999993</v>
      </c>
      <c r="E43" s="4">
        <f t="shared" si="1"/>
        <v>9009.7000000000007</v>
      </c>
      <c r="G43" s="4">
        <f t="shared" si="2"/>
        <v>9074.5458691320146</v>
      </c>
      <c r="H43" s="4">
        <f t="shared" si="3"/>
        <v>17.898292541517325</v>
      </c>
      <c r="I43" s="4">
        <f t="shared" si="4"/>
        <v>9086.1073364150179</v>
      </c>
      <c r="J43" s="4"/>
      <c r="K43" s="2"/>
      <c r="L43" s="2"/>
      <c r="M43" s="2"/>
      <c r="N43" s="2"/>
      <c r="O43" s="2"/>
      <c r="P43" s="2">
        <f t="shared" si="7"/>
        <v>-65.910387789996093</v>
      </c>
      <c r="Q43" s="2">
        <f t="shared" si="5"/>
        <v>65.910387789996093</v>
      </c>
      <c r="R43" s="2">
        <f t="shared" si="6"/>
        <v>4344.1792186276662</v>
      </c>
      <c r="S43" s="2"/>
    </row>
    <row r="44" spans="1:19" x14ac:dyDescent="0.25">
      <c r="A44" s="3">
        <v>42186</v>
      </c>
      <c r="B44" s="4">
        <v>9099.2000000000007</v>
      </c>
      <c r="C44" s="4">
        <f t="shared" si="0"/>
        <v>9649.8641666666699</v>
      </c>
      <c r="D44" s="4">
        <f t="shared" si="8"/>
        <v>9017.2250000000004</v>
      </c>
      <c r="E44" s="4">
        <f t="shared" si="1"/>
        <v>9028.2999999999993</v>
      </c>
      <c r="G44" s="4">
        <f t="shared" si="2"/>
        <v>9093.7953293388255</v>
      </c>
      <c r="H44" s="4">
        <f t="shared" si="3"/>
        <v>18.573876374164115</v>
      </c>
      <c r="I44" s="4">
        <f t="shared" si="4"/>
        <v>9092.4441616735312</v>
      </c>
      <c r="J44" s="4"/>
      <c r="K44" s="2"/>
      <c r="L44" s="2"/>
      <c r="M44" s="2"/>
      <c r="N44" s="2"/>
      <c r="O44" s="2"/>
      <c r="P44" s="2">
        <f t="shared" si="7"/>
        <v>-57.807336415018653</v>
      </c>
      <c r="Q44" s="2">
        <f t="shared" si="5"/>
        <v>57.807336415018653</v>
      </c>
      <c r="R44" s="2">
        <f t="shared" si="6"/>
        <v>3341.6881433991416</v>
      </c>
      <c r="S44" s="2"/>
    </row>
    <row r="45" spans="1:19" x14ac:dyDescent="0.25">
      <c r="A45" s="3">
        <v>42217</v>
      </c>
      <c r="B45" s="4">
        <v>9130.9</v>
      </c>
      <c r="C45" s="4">
        <f t="shared" si="0"/>
        <v>9649.8641666666699</v>
      </c>
      <c r="D45" s="4">
        <f t="shared" si="8"/>
        <v>9036.4</v>
      </c>
      <c r="E45" s="4">
        <f t="shared" si="1"/>
        <v>9099.2000000000007</v>
      </c>
      <c r="G45" s="4">
        <f t="shared" si="2"/>
        <v>9116.0753645703917</v>
      </c>
      <c r="H45" s="4">
        <f t="shared" si="3"/>
        <v>20.426955802865166</v>
      </c>
      <c r="I45" s="4">
        <f t="shared" si="4"/>
        <v>9112.3692057129902</v>
      </c>
      <c r="J45" s="4"/>
      <c r="K45" s="2"/>
      <c r="L45" s="2"/>
      <c r="M45" s="2"/>
      <c r="N45" s="2"/>
      <c r="O45" s="2"/>
      <c r="P45" s="2">
        <f t="shared" si="7"/>
        <v>6.7558383264695294</v>
      </c>
      <c r="Q45" s="2">
        <f t="shared" si="5"/>
        <v>6.7558383264695294</v>
      </c>
      <c r="R45" s="2">
        <f t="shared" si="6"/>
        <v>45.641351493394609</v>
      </c>
      <c r="S45" s="2"/>
    </row>
    <row r="46" spans="1:19" x14ac:dyDescent="0.25">
      <c r="A46" s="3">
        <v>42248</v>
      </c>
      <c r="B46" s="4">
        <v>9143.7000000000007</v>
      </c>
      <c r="C46" s="4">
        <f t="shared" si="0"/>
        <v>9649.8641666666699</v>
      </c>
      <c r="D46" s="4">
        <f t="shared" si="8"/>
        <v>9067.0249999999996</v>
      </c>
      <c r="E46" s="4">
        <f t="shared" si="1"/>
        <v>9130.9</v>
      </c>
      <c r="G46" s="4">
        <f t="shared" si="2"/>
        <v>9137.9418562986048</v>
      </c>
      <c r="H46" s="4">
        <f t="shared" si="3"/>
        <v>21.146723765539122</v>
      </c>
      <c r="I46" s="4">
        <f t="shared" si="4"/>
        <v>9136.5023203732562</v>
      </c>
      <c r="J46" s="4"/>
      <c r="K46" s="2"/>
      <c r="L46" s="2"/>
      <c r="M46" s="2"/>
      <c r="N46" s="2"/>
      <c r="O46" s="2"/>
      <c r="P46" s="2">
        <f t="shared" si="7"/>
        <v>18.530794287009485</v>
      </c>
      <c r="Q46" s="2">
        <f t="shared" si="5"/>
        <v>18.530794287009485</v>
      </c>
      <c r="R46" s="2">
        <f t="shared" si="6"/>
        <v>343.39033690746334</v>
      </c>
      <c r="S46" s="2"/>
    </row>
    <row r="47" spans="1:19" x14ac:dyDescent="0.25">
      <c r="A47" s="3">
        <v>42278</v>
      </c>
      <c r="B47" s="4">
        <v>9156.4</v>
      </c>
      <c r="C47" s="4">
        <f t="shared" si="0"/>
        <v>9649.8641666666699</v>
      </c>
      <c r="D47" s="4">
        <f t="shared" si="8"/>
        <v>9100.5250000000015</v>
      </c>
      <c r="E47" s="4">
        <f t="shared" si="1"/>
        <v>9143.7000000000007</v>
      </c>
      <c r="G47" s="4">
        <f t="shared" si="2"/>
        <v>9158.5508640513162</v>
      </c>
      <c r="H47" s="4">
        <f t="shared" si="3"/>
        <v>20.877865759125299</v>
      </c>
      <c r="I47" s="4">
        <f t="shared" si="4"/>
        <v>9159.0885800641445</v>
      </c>
      <c r="J47" s="4"/>
      <c r="K47" s="2"/>
      <c r="L47" s="2"/>
      <c r="M47" s="2"/>
      <c r="N47" s="2"/>
      <c r="O47" s="2"/>
      <c r="P47" s="2">
        <f t="shared" si="7"/>
        <v>7.1976796267445025</v>
      </c>
      <c r="Q47" s="2">
        <f t="shared" si="5"/>
        <v>7.1976796267445025</v>
      </c>
      <c r="R47" s="2">
        <f t="shared" si="6"/>
        <v>51.806592009252881</v>
      </c>
      <c r="S47" s="2"/>
    </row>
    <row r="48" spans="1:19" x14ac:dyDescent="0.25">
      <c r="A48" s="3">
        <v>42309</v>
      </c>
      <c r="B48" s="4">
        <v>9158.7999999999993</v>
      </c>
      <c r="C48" s="4">
        <f t="shared" si="0"/>
        <v>9649.8641666666699</v>
      </c>
      <c r="D48" s="4">
        <f t="shared" si="8"/>
        <v>9132.5499999999993</v>
      </c>
      <c r="E48" s="4">
        <f t="shared" si="1"/>
        <v>9156.4</v>
      </c>
      <c r="G48" s="4">
        <f t="shared" si="2"/>
        <v>9175.3029838483526</v>
      </c>
      <c r="H48" s="4">
        <f t="shared" si="3"/>
        <v>18.814992778080828</v>
      </c>
      <c r="I48" s="4">
        <f t="shared" si="4"/>
        <v>9179.4287298104409</v>
      </c>
      <c r="J48" s="4"/>
      <c r="K48" s="2"/>
      <c r="L48" s="2"/>
      <c r="M48" s="2"/>
      <c r="N48" s="2"/>
      <c r="O48" s="2"/>
      <c r="P48" s="2">
        <f t="shared" si="7"/>
        <v>-2.6885800641448441</v>
      </c>
      <c r="Q48" s="2">
        <f t="shared" si="5"/>
        <v>2.6885800641448441</v>
      </c>
      <c r="R48" s="2">
        <f t="shared" si="6"/>
        <v>7.2284627613170942</v>
      </c>
      <c r="S48" s="2"/>
    </row>
    <row r="49" spans="1:19" x14ac:dyDescent="0.25">
      <c r="A49" s="3">
        <v>42339</v>
      </c>
      <c r="B49" s="4">
        <v>9412</v>
      </c>
      <c r="C49" s="4">
        <f t="shared" si="0"/>
        <v>9649.8641666666699</v>
      </c>
      <c r="D49" s="4">
        <f t="shared" si="8"/>
        <v>9147.4500000000007</v>
      </c>
      <c r="E49" s="4">
        <f t="shared" si="1"/>
        <v>9158.7999999999993</v>
      </c>
      <c r="G49" s="4">
        <f t="shared" si="2"/>
        <v>9237.6943813011476</v>
      </c>
      <c r="H49" s="4">
        <f t="shared" si="3"/>
        <v>40.603195115437913</v>
      </c>
      <c r="I49" s="4">
        <f t="shared" si="4"/>
        <v>9194.117976626434</v>
      </c>
      <c r="J49" s="4"/>
      <c r="K49" s="2"/>
      <c r="L49" s="2"/>
      <c r="M49" s="2"/>
      <c r="N49" s="2"/>
      <c r="O49" s="2"/>
      <c r="P49" s="2">
        <f t="shared" si="7"/>
        <v>-20.628729810441655</v>
      </c>
      <c r="Q49" s="2">
        <f t="shared" si="5"/>
        <v>20.628729810441655</v>
      </c>
      <c r="R49" s="2">
        <f t="shared" si="6"/>
        <v>425.54449359220422</v>
      </c>
      <c r="S49" s="2"/>
    </row>
    <row r="50" spans="1:19" x14ac:dyDescent="0.25">
      <c r="A50" s="3">
        <v>42370</v>
      </c>
      <c r="B50" s="4">
        <v>9506.4</v>
      </c>
      <c r="C50" s="4">
        <f t="shared" si="0"/>
        <v>9649.8641666666699</v>
      </c>
      <c r="D50" s="4">
        <f t="shared" si="8"/>
        <v>9217.7249999999985</v>
      </c>
      <c r="E50" s="4">
        <f t="shared" si="1"/>
        <v>9412</v>
      </c>
      <c r="G50" s="4">
        <f t="shared" si="2"/>
        <v>9323.9180611332686</v>
      </c>
      <c r="H50" s="4">
        <f t="shared" si="3"/>
        <v>63.413437473779446</v>
      </c>
      <c r="I50" s="4">
        <f t="shared" si="4"/>
        <v>9278.2975764165858</v>
      </c>
      <c r="J50" s="4"/>
      <c r="K50" s="2"/>
      <c r="L50" s="2"/>
      <c r="M50" s="2"/>
      <c r="N50" s="2"/>
      <c r="O50" s="2"/>
      <c r="P50" s="2">
        <f t="shared" si="7"/>
        <v>217.88202337356597</v>
      </c>
      <c r="Q50" s="2">
        <f t="shared" si="5"/>
        <v>217.88202337356597</v>
      </c>
      <c r="R50" s="2">
        <f t="shared" si="6"/>
        <v>47472.57610935915</v>
      </c>
      <c r="S50" s="2"/>
    </row>
    <row r="51" spans="1:19" x14ac:dyDescent="0.25">
      <c r="A51" s="3">
        <v>42401</v>
      </c>
      <c r="B51" s="4">
        <v>9413.9</v>
      </c>
      <c r="C51" s="4">
        <f t="shared" si="0"/>
        <v>9649.8641666666699</v>
      </c>
      <c r="D51" s="4">
        <f t="shared" si="8"/>
        <v>9308.4</v>
      </c>
      <c r="E51" s="4">
        <f t="shared" si="1"/>
        <v>9506.4</v>
      </c>
      <c r="G51" s="4">
        <f t="shared" si="2"/>
        <v>9392.6451988856388</v>
      </c>
      <c r="H51" s="4">
        <f t="shared" si="3"/>
        <v>66.070287613074854</v>
      </c>
      <c r="I51" s="4">
        <f t="shared" si="4"/>
        <v>9387.3314986070473</v>
      </c>
      <c r="J51" s="4"/>
      <c r="K51" s="2"/>
      <c r="L51" s="2"/>
      <c r="M51" s="2"/>
      <c r="N51" s="2"/>
      <c r="O51" s="2"/>
      <c r="P51" s="2">
        <f t="shared" si="7"/>
        <v>228.10242358341384</v>
      </c>
      <c r="Q51" s="2">
        <f t="shared" si="5"/>
        <v>228.10242358341384</v>
      </c>
      <c r="R51" s="2">
        <f t="shared" si="6"/>
        <v>52030.715644627147</v>
      </c>
      <c r="S51" s="2"/>
    </row>
    <row r="52" spans="1:19" x14ac:dyDescent="0.25">
      <c r="A52" s="3">
        <v>42430</v>
      </c>
      <c r="B52" s="4">
        <v>9453.9</v>
      </c>
      <c r="C52" s="4">
        <f t="shared" si="0"/>
        <v>9649.8641666666699</v>
      </c>
      <c r="D52" s="4">
        <f t="shared" si="8"/>
        <v>9372.7749999999996</v>
      </c>
      <c r="E52" s="4">
        <f t="shared" si="1"/>
        <v>9413.9</v>
      </c>
      <c r="G52" s="4">
        <f t="shared" si="2"/>
        <v>9457.7523891989713</v>
      </c>
      <c r="H52" s="4">
        <f t="shared" si="3"/>
        <v>65.588738963203667</v>
      </c>
      <c r="I52" s="4">
        <f t="shared" si="4"/>
        <v>9458.7154864987133</v>
      </c>
      <c r="J52" s="4"/>
      <c r="K52" s="2"/>
      <c r="L52" s="2"/>
      <c r="M52" s="2"/>
      <c r="N52" s="2"/>
      <c r="O52" s="2"/>
      <c r="P52" s="2">
        <f t="shared" si="7"/>
        <v>26.568501392952385</v>
      </c>
      <c r="Q52" s="2">
        <f t="shared" si="5"/>
        <v>26.568501392952385</v>
      </c>
      <c r="R52" s="2">
        <f t="shared" si="6"/>
        <v>705.88526626731277</v>
      </c>
      <c r="S52" s="2"/>
    </row>
    <row r="53" spans="1:19" x14ac:dyDescent="0.25">
      <c r="A53" s="3">
        <v>42461</v>
      </c>
      <c r="B53" s="4">
        <v>9458.2999999999993</v>
      </c>
      <c r="C53" s="4">
        <f t="shared" si="0"/>
        <v>9649.8641666666699</v>
      </c>
      <c r="D53" s="4">
        <f t="shared" si="8"/>
        <v>9446.5500000000011</v>
      </c>
      <c r="E53" s="4">
        <f t="shared" si="1"/>
        <v>9453.9</v>
      </c>
      <c r="G53" s="4">
        <f t="shared" si="2"/>
        <v>9510.3329025297407</v>
      </c>
      <c r="H53" s="4">
        <f t="shared" si="3"/>
        <v>59.084626146986565</v>
      </c>
      <c r="I53" s="4">
        <f t="shared" si="4"/>
        <v>9523.3411281621757</v>
      </c>
      <c r="J53" s="4"/>
      <c r="K53" s="2"/>
      <c r="L53" s="2"/>
      <c r="M53" s="2"/>
      <c r="N53" s="2"/>
      <c r="O53" s="2"/>
      <c r="P53" s="2">
        <f t="shared" si="7"/>
        <v>-4.8154864987136534</v>
      </c>
      <c r="Q53" s="2">
        <f t="shared" si="5"/>
        <v>4.8154864987136534</v>
      </c>
      <c r="R53" s="2">
        <f t="shared" si="6"/>
        <v>23.188910219293479</v>
      </c>
      <c r="S53" s="2"/>
    </row>
    <row r="54" spans="1:19" x14ac:dyDescent="0.25">
      <c r="A54" s="3">
        <v>42491</v>
      </c>
      <c r="B54" s="4">
        <v>9495.9</v>
      </c>
      <c r="C54" s="4">
        <f t="shared" si="0"/>
        <v>9649.8641666666699</v>
      </c>
      <c r="D54" s="4">
        <f t="shared" si="8"/>
        <v>9458.125</v>
      </c>
      <c r="E54" s="4">
        <f t="shared" si="1"/>
        <v>9458.2999999999993</v>
      </c>
      <c r="G54" s="4">
        <f t="shared" si="2"/>
        <v>9554.7140229413817</v>
      </c>
      <c r="H54" s="4">
        <f t="shared" si="3"/>
        <v>51.732873279313758</v>
      </c>
      <c r="I54" s="4">
        <f t="shared" si="4"/>
        <v>9569.4175286767277</v>
      </c>
      <c r="J54" s="4"/>
      <c r="K54" s="2"/>
      <c r="L54" s="2"/>
      <c r="M54" s="2"/>
      <c r="N54" s="2"/>
      <c r="O54" s="2"/>
      <c r="P54" s="2">
        <f t="shared" si="7"/>
        <v>-65.041128162176392</v>
      </c>
      <c r="Q54" s="2">
        <f t="shared" si="5"/>
        <v>65.041128162176392</v>
      </c>
      <c r="R54" s="2">
        <f t="shared" si="6"/>
        <v>4230.3483526086547</v>
      </c>
      <c r="S54" s="2"/>
    </row>
    <row r="55" spans="1:19" x14ac:dyDescent="0.25">
      <c r="A55" s="3">
        <v>42522</v>
      </c>
      <c r="B55" s="4">
        <v>9569.2000000000007</v>
      </c>
      <c r="C55" s="4">
        <f t="shared" si="0"/>
        <v>9649.8641666666699</v>
      </c>
      <c r="D55" s="4">
        <f t="shared" si="8"/>
        <v>9455.5</v>
      </c>
      <c r="E55" s="4">
        <f t="shared" si="1"/>
        <v>9495.9</v>
      </c>
      <c r="G55" s="4">
        <f t="shared" si="2"/>
        <v>9598.9975169765567</v>
      </c>
      <c r="H55" s="4">
        <f t="shared" si="3"/>
        <v>48.008183657244359</v>
      </c>
      <c r="I55" s="4">
        <f t="shared" si="4"/>
        <v>9606.4468962206956</v>
      </c>
      <c r="J55" s="4"/>
      <c r="K55" s="2"/>
      <c r="L55" s="2"/>
      <c r="M55" s="2"/>
      <c r="N55" s="2"/>
      <c r="O55" s="2"/>
      <c r="P55" s="2">
        <f t="shared" si="7"/>
        <v>-73.517528676728034</v>
      </c>
      <c r="Q55" s="2">
        <f t="shared" si="5"/>
        <v>73.517528676728034</v>
      </c>
      <c r="R55" s="2">
        <f t="shared" si="6"/>
        <v>5404.8270227335288</v>
      </c>
      <c r="S55" s="2"/>
    </row>
    <row r="56" spans="1:19" x14ac:dyDescent="0.25">
      <c r="A56" s="3">
        <v>42552</v>
      </c>
      <c r="B56" s="4">
        <v>9604.9</v>
      </c>
      <c r="C56" s="4">
        <f t="shared" si="0"/>
        <v>9649.8641666666699</v>
      </c>
      <c r="D56" s="4">
        <f t="shared" si="8"/>
        <v>9494.3250000000007</v>
      </c>
      <c r="E56" s="4">
        <f t="shared" si="1"/>
        <v>9569.2000000000007</v>
      </c>
      <c r="G56" s="4">
        <f t="shared" si="2"/>
        <v>9638.5845605070408</v>
      </c>
      <c r="H56" s="4">
        <f t="shared" si="3"/>
        <v>43.797613593864256</v>
      </c>
      <c r="I56" s="4">
        <f t="shared" si="4"/>
        <v>9647.0057006338011</v>
      </c>
      <c r="J56" s="4"/>
      <c r="K56" s="2"/>
      <c r="L56" s="2"/>
      <c r="M56" s="2"/>
      <c r="N56" s="2"/>
      <c r="O56" s="2"/>
      <c r="P56" s="2">
        <f t="shared" si="7"/>
        <v>-37.246896220694907</v>
      </c>
      <c r="Q56" s="2">
        <f t="shared" si="5"/>
        <v>37.246896220694907</v>
      </c>
      <c r="R56" s="2">
        <f t="shared" si="6"/>
        <v>1387.3312780752165</v>
      </c>
      <c r="S56" s="2"/>
    </row>
    <row r="57" spans="1:19" x14ac:dyDescent="0.25">
      <c r="A57" s="3">
        <v>42583</v>
      </c>
      <c r="B57" s="4">
        <v>9645.7000000000007</v>
      </c>
      <c r="C57" s="4">
        <f t="shared" si="0"/>
        <v>9649.8641666666699</v>
      </c>
      <c r="D57" s="4">
        <f t="shared" si="8"/>
        <v>9532.0749999999989</v>
      </c>
      <c r="E57" s="4">
        <f t="shared" si="1"/>
        <v>9604.9</v>
      </c>
      <c r="G57" s="4">
        <f t="shared" si="2"/>
        <v>9675.0457392807257</v>
      </c>
      <c r="H57" s="4">
        <f t="shared" si="3"/>
        <v>40.129396183774567</v>
      </c>
      <c r="I57" s="4">
        <f t="shared" si="4"/>
        <v>9682.3821741009051</v>
      </c>
      <c r="J57" s="4"/>
      <c r="K57" s="2"/>
      <c r="L57" s="2"/>
      <c r="M57" s="2"/>
      <c r="N57" s="2"/>
      <c r="O57" s="2"/>
      <c r="P57" s="2">
        <f t="shared" si="7"/>
        <v>-42.105700633801462</v>
      </c>
      <c r="Q57" s="2">
        <f t="shared" si="5"/>
        <v>42.105700633801462</v>
      </c>
      <c r="R57" s="2">
        <f t="shared" si="6"/>
        <v>1772.8900258633089</v>
      </c>
      <c r="S57" s="2"/>
    </row>
    <row r="58" spans="1:19" x14ac:dyDescent="0.25">
      <c r="A58" s="3">
        <v>42614</v>
      </c>
      <c r="B58" s="4">
        <v>9674.7999999999993</v>
      </c>
      <c r="C58" s="4">
        <f t="shared" si="0"/>
        <v>9649.8641666666699</v>
      </c>
      <c r="D58" s="4">
        <f t="shared" si="8"/>
        <v>9578.9249999999993</v>
      </c>
      <c r="E58" s="4">
        <f t="shared" si="1"/>
        <v>9645.7000000000007</v>
      </c>
      <c r="G58" s="4">
        <f t="shared" si="2"/>
        <v>9707.1001083716001</v>
      </c>
      <c r="H58" s="4">
        <f t="shared" si="3"/>
        <v>36.091882637324474</v>
      </c>
      <c r="I58" s="4">
        <f t="shared" si="4"/>
        <v>9715.1751354645003</v>
      </c>
      <c r="J58" s="4"/>
      <c r="K58" s="2"/>
      <c r="L58" s="2"/>
      <c r="M58" s="2"/>
      <c r="N58" s="2"/>
      <c r="O58" s="2"/>
      <c r="P58" s="2">
        <f t="shared" si="7"/>
        <v>-36.682174100904376</v>
      </c>
      <c r="Q58" s="2">
        <f t="shared" si="5"/>
        <v>36.682174100904376</v>
      </c>
      <c r="R58" s="2">
        <f t="shared" si="6"/>
        <v>1345.5818967690598</v>
      </c>
      <c r="S58" s="2"/>
    </row>
    <row r="59" spans="1:19" x14ac:dyDescent="0.25">
      <c r="A59" s="3">
        <v>42644</v>
      </c>
      <c r="B59" s="4">
        <v>9705.2000000000007</v>
      </c>
      <c r="C59" s="4">
        <f t="shared" si="0"/>
        <v>9649.8641666666699</v>
      </c>
      <c r="D59" s="4">
        <f t="shared" si="8"/>
        <v>9623.65</v>
      </c>
      <c r="E59" s="4">
        <f t="shared" si="1"/>
        <v>9674.7999999999993</v>
      </c>
      <c r="G59" s="4">
        <f t="shared" si="2"/>
        <v>9735.5935928071394</v>
      </c>
      <c r="H59" s="4">
        <f t="shared" si="3"/>
        <v>32.292683536431916</v>
      </c>
      <c r="I59" s="4">
        <f t="shared" si="4"/>
        <v>9743.1919910089237</v>
      </c>
      <c r="J59" s="4"/>
      <c r="K59" s="2"/>
      <c r="L59" s="2"/>
      <c r="M59" s="2"/>
      <c r="N59" s="2"/>
      <c r="O59" s="2"/>
      <c r="P59" s="2">
        <f t="shared" si="7"/>
        <v>-40.375135464501</v>
      </c>
      <c r="Q59" s="2">
        <f t="shared" si="5"/>
        <v>40.375135464501</v>
      </c>
      <c r="R59" s="2">
        <f t="shared" si="6"/>
        <v>1630.1515637768064</v>
      </c>
      <c r="S59" s="2"/>
    </row>
    <row r="60" spans="1:19" x14ac:dyDescent="0.25">
      <c r="A60" s="3">
        <v>42675</v>
      </c>
      <c r="B60" s="4">
        <v>9742.9</v>
      </c>
      <c r="C60" s="4">
        <f t="shared" si="0"/>
        <v>9649.8641666666699</v>
      </c>
      <c r="D60" s="4">
        <f t="shared" si="8"/>
        <v>9657.65</v>
      </c>
      <c r="E60" s="4">
        <f t="shared" si="1"/>
        <v>9705.2000000000007</v>
      </c>
      <c r="G60" s="4">
        <f t="shared" si="2"/>
        <v>9762.8890210748577</v>
      </c>
      <c r="H60" s="4">
        <f t="shared" si="3"/>
        <v>29.794055902075112</v>
      </c>
      <c r="I60" s="4">
        <f t="shared" si="4"/>
        <v>9767.8862763435718</v>
      </c>
      <c r="J60" s="4"/>
      <c r="K60" s="2"/>
      <c r="L60" s="2"/>
      <c r="M60" s="2"/>
      <c r="N60" s="2"/>
      <c r="O60" s="2"/>
      <c r="P60" s="2">
        <f t="shared" si="7"/>
        <v>-37.991991008922923</v>
      </c>
      <c r="Q60" s="2">
        <f t="shared" si="5"/>
        <v>37.991991008922923</v>
      </c>
      <c r="R60" s="2">
        <f t="shared" si="6"/>
        <v>1443.3913808220802</v>
      </c>
      <c r="S60" s="2"/>
    </row>
    <row r="61" spans="1:19" x14ac:dyDescent="0.25">
      <c r="A61" s="3">
        <v>42705</v>
      </c>
      <c r="B61" s="4">
        <v>9733.1</v>
      </c>
      <c r="C61" s="4">
        <f t="shared" si="0"/>
        <v>9649.8641666666699</v>
      </c>
      <c r="D61" s="4">
        <f t="shared" si="8"/>
        <v>9692.15</v>
      </c>
      <c r="E61" s="4">
        <f t="shared" si="1"/>
        <v>9742.9</v>
      </c>
      <c r="G61" s="4">
        <f t="shared" si="2"/>
        <v>9780.7664615815465</v>
      </c>
      <c r="H61" s="4">
        <f t="shared" si="3"/>
        <v>23.835748204381957</v>
      </c>
      <c r="I61" s="4">
        <f t="shared" si="4"/>
        <v>9792.6830769769331</v>
      </c>
      <c r="J61" s="4"/>
      <c r="K61" s="2"/>
      <c r="L61" s="2"/>
      <c r="M61" s="2"/>
      <c r="N61" s="2"/>
      <c r="O61" s="2"/>
      <c r="P61" s="2">
        <f t="shared" si="7"/>
        <v>-24.986276343572172</v>
      </c>
      <c r="Q61" s="2">
        <f t="shared" si="5"/>
        <v>24.986276343572172</v>
      </c>
      <c r="R61" s="2">
        <f t="shared" si="6"/>
        <v>624.3140055173543</v>
      </c>
      <c r="S61" s="2"/>
    </row>
    <row r="62" spans="1:19" x14ac:dyDescent="0.25">
      <c r="A62" s="3">
        <v>42736</v>
      </c>
      <c r="B62" s="4">
        <v>9724.7000000000007</v>
      </c>
      <c r="C62" s="4">
        <f t="shared" si="0"/>
        <v>9649.8641666666699</v>
      </c>
      <c r="D62" s="4">
        <f t="shared" si="8"/>
        <v>9714</v>
      </c>
      <c r="E62" s="4">
        <f t="shared" si="1"/>
        <v>9733.1</v>
      </c>
      <c r="G62" s="4">
        <f t="shared" si="2"/>
        <v>9788.621767828743</v>
      </c>
      <c r="H62" s="4">
        <f t="shared" si="3"/>
        <v>15.845527225789226</v>
      </c>
      <c r="I62" s="4">
        <f t="shared" si="4"/>
        <v>9804.6022097859277</v>
      </c>
      <c r="J62" s="4"/>
      <c r="K62" s="2"/>
      <c r="L62" s="2"/>
      <c r="M62" s="2"/>
      <c r="N62" s="2"/>
      <c r="O62" s="2"/>
      <c r="P62" s="2">
        <f t="shared" si="7"/>
        <v>-59.583076976932716</v>
      </c>
      <c r="Q62" s="2">
        <f t="shared" si="5"/>
        <v>59.583076976932716</v>
      </c>
      <c r="R62" s="2">
        <f t="shared" si="6"/>
        <v>3550.1430620390897</v>
      </c>
      <c r="S62" s="2"/>
    </row>
    <row r="63" spans="1:19" x14ac:dyDescent="0.25">
      <c r="A63" s="3">
        <v>42767</v>
      </c>
      <c r="B63" s="4">
        <v>9801.1</v>
      </c>
      <c r="C63" s="4">
        <f t="shared" si="0"/>
        <v>9649.8641666666699</v>
      </c>
      <c r="D63" s="4">
        <f t="shared" si="8"/>
        <v>9726.4749999999985</v>
      </c>
      <c r="E63" s="4">
        <f t="shared" si="1"/>
        <v>9724.7000000000007</v>
      </c>
      <c r="G63" s="4">
        <f t="shared" si="2"/>
        <v>9803.7938360436274</v>
      </c>
      <c r="H63" s="4">
        <f t="shared" si="3"/>
        <v>15.508797720336787</v>
      </c>
      <c r="I63" s="4">
        <f t="shared" si="4"/>
        <v>9804.4672950545319</v>
      </c>
      <c r="J63" s="4"/>
      <c r="K63" s="2"/>
      <c r="L63" s="2"/>
      <c r="M63" s="2"/>
      <c r="N63" s="2"/>
      <c r="O63" s="2"/>
      <c r="P63" s="2">
        <f t="shared" si="7"/>
        <v>-79.902209785926971</v>
      </c>
      <c r="Q63" s="2">
        <f t="shared" si="5"/>
        <v>79.902209785926971</v>
      </c>
      <c r="R63" s="2">
        <f t="shared" si="6"/>
        <v>6384.3631286742839</v>
      </c>
      <c r="S63" s="2"/>
    </row>
    <row r="64" spans="1:19" x14ac:dyDescent="0.25">
      <c r="A64" s="3">
        <v>42795</v>
      </c>
      <c r="B64" s="4">
        <v>9798.2999999999993</v>
      </c>
      <c r="C64" s="4">
        <f t="shared" si="0"/>
        <v>9649.8641666666699</v>
      </c>
      <c r="D64" s="4">
        <f t="shared" si="8"/>
        <v>9750.4500000000007</v>
      </c>
      <c r="E64" s="4">
        <f t="shared" si="1"/>
        <v>9801.1</v>
      </c>
      <c r="G64" s="4">
        <f t="shared" si="2"/>
        <v>9815.102107011171</v>
      </c>
      <c r="H64" s="4">
        <f t="shared" si="3"/>
        <v>13.408534343940218</v>
      </c>
      <c r="I64" s="4">
        <f t="shared" si="4"/>
        <v>9819.302633763964</v>
      </c>
      <c r="J64" s="4"/>
      <c r="K64" s="2"/>
      <c r="L64" s="2"/>
      <c r="M64" s="2"/>
      <c r="N64" s="2"/>
      <c r="O64" s="2"/>
      <c r="P64" s="2">
        <f t="shared" si="7"/>
        <v>-3.3672950545314961</v>
      </c>
      <c r="Q64" s="2">
        <f t="shared" si="5"/>
        <v>3.3672950545314961</v>
      </c>
      <c r="R64" s="2">
        <f t="shared" si="6"/>
        <v>11.338675984272271</v>
      </c>
      <c r="S64" s="2"/>
    </row>
    <row r="65" spans="1:19" x14ac:dyDescent="0.25">
      <c r="A65" s="3">
        <v>42826</v>
      </c>
      <c r="B65" s="4">
        <v>9813.7000000000007</v>
      </c>
      <c r="C65" s="4">
        <f t="shared" si="0"/>
        <v>9649.8641666666699</v>
      </c>
      <c r="D65" s="4">
        <f t="shared" si="8"/>
        <v>9764.2999999999993</v>
      </c>
      <c r="E65" s="4">
        <f t="shared" si="1"/>
        <v>9798.2999999999993</v>
      </c>
      <c r="G65" s="4">
        <f t="shared" si="2"/>
        <v>9825.5485130840898</v>
      </c>
      <c r="H65" s="4">
        <f t="shared" si="3"/>
        <v>11.92747020842949</v>
      </c>
      <c r="I65" s="4">
        <f t="shared" si="4"/>
        <v>9828.5106413551111</v>
      </c>
      <c r="J65" s="4"/>
      <c r="K65" s="2"/>
      <c r="L65" s="2"/>
      <c r="M65" s="2"/>
      <c r="N65" s="2"/>
      <c r="O65" s="2"/>
      <c r="P65" s="2">
        <f t="shared" si="7"/>
        <v>-21.002633763964695</v>
      </c>
      <c r="Q65" s="2">
        <f t="shared" si="5"/>
        <v>21.002633763964695</v>
      </c>
      <c r="R65" s="2">
        <f t="shared" si="6"/>
        <v>441.11062502322983</v>
      </c>
      <c r="S65" s="2"/>
    </row>
    <row r="66" spans="1:19" x14ac:dyDescent="0.25">
      <c r="A66" s="3">
        <v>42856</v>
      </c>
      <c r="B66" s="4">
        <v>9867.7000000000007</v>
      </c>
      <c r="C66" s="4">
        <f t="shared" si="0"/>
        <v>9649.8641666666699</v>
      </c>
      <c r="D66" s="4">
        <f t="shared" si="8"/>
        <v>9784.4500000000007</v>
      </c>
      <c r="E66" s="4">
        <f t="shared" si="1"/>
        <v>9813.7000000000007</v>
      </c>
      <c r="G66" s="4">
        <f t="shared" si="2"/>
        <v>9843.520786634017</v>
      </c>
      <c r="H66" s="4">
        <f t="shared" si="3"/>
        <v>14.949871879178342</v>
      </c>
      <c r="I66" s="4">
        <f t="shared" si="4"/>
        <v>9837.4759832925192</v>
      </c>
      <c r="J66" s="4"/>
      <c r="K66" s="2"/>
      <c r="L66" s="2"/>
      <c r="M66" s="2"/>
      <c r="N66" s="2"/>
      <c r="O66" s="2"/>
      <c r="P66" s="2">
        <f t="shared" si="7"/>
        <v>-14.81064135511042</v>
      </c>
      <c r="Q66" s="2">
        <f t="shared" si="5"/>
        <v>14.81064135511042</v>
      </c>
      <c r="R66" s="2">
        <f t="shared" si="6"/>
        <v>219.35509734970699</v>
      </c>
      <c r="S66" s="2"/>
    </row>
    <row r="67" spans="1:19" x14ac:dyDescent="0.25">
      <c r="A67" s="3">
        <v>42887</v>
      </c>
      <c r="B67" s="4">
        <v>9894.4</v>
      </c>
      <c r="C67" s="4">
        <f t="shared" si="0"/>
        <v>9649.8641666666699</v>
      </c>
      <c r="D67" s="4">
        <f t="shared" si="8"/>
        <v>9820.2000000000007</v>
      </c>
      <c r="E67" s="4">
        <f t="shared" si="1"/>
        <v>9867.7000000000007</v>
      </c>
      <c r="G67" s="4">
        <f t="shared" si="2"/>
        <v>9865.6565268105569</v>
      </c>
      <c r="H67" s="4">
        <f t="shared" si="3"/>
        <v>18.542806027859129</v>
      </c>
      <c r="I67" s="4">
        <f t="shared" si="4"/>
        <v>9858.4706585131953</v>
      </c>
      <c r="J67" s="4"/>
      <c r="K67" s="2"/>
      <c r="L67" s="2"/>
      <c r="M67" s="2"/>
      <c r="N67" s="2"/>
      <c r="O67" s="2"/>
      <c r="P67" s="2">
        <f t="shared" si="7"/>
        <v>30.224016707481496</v>
      </c>
      <c r="Q67" s="2">
        <f t="shared" si="5"/>
        <v>30.224016707481496</v>
      </c>
      <c r="R67" s="2">
        <f t="shared" si="6"/>
        <v>913.49118593412061</v>
      </c>
      <c r="S67" s="2"/>
    </row>
    <row r="68" spans="1:19" x14ac:dyDescent="0.25">
      <c r="A68" s="3">
        <v>42917</v>
      </c>
      <c r="B68" s="4">
        <v>9886.4</v>
      </c>
      <c r="C68" s="4">
        <f t="shared" ref="C68:C121" si="9">AVERAGE($B$2:$B$121)</f>
        <v>9649.8641666666699</v>
      </c>
      <c r="D68" s="4">
        <f t="shared" si="8"/>
        <v>9843.5249999999996</v>
      </c>
      <c r="E68" s="4">
        <f t="shared" ref="E68:E122" si="10">B67</f>
        <v>9894.4</v>
      </c>
      <c r="G68" s="4">
        <f t="shared" ref="G68:G121" si="11">$L$2*B68+(1-$L$2)*(G67+H67)</f>
        <v>9884.6394662707335</v>
      </c>
      <c r="H68" s="4">
        <f t="shared" ref="H68:H121" si="12">$L$3*(G68-G67)+(1-$L$3)*H67</f>
        <v>18.762872744017848</v>
      </c>
      <c r="I68" s="4">
        <f t="shared" ref="I68:I122" si="13">G67+H67</f>
        <v>9884.199332838416</v>
      </c>
      <c r="J68" s="4"/>
      <c r="K68" s="2"/>
      <c r="L68" s="2"/>
      <c r="M68" s="2"/>
      <c r="N68" s="2"/>
      <c r="O68" s="2"/>
      <c r="P68" s="2">
        <f t="shared" si="7"/>
        <v>35.929341486804333</v>
      </c>
      <c r="Q68" s="2">
        <f t="shared" si="5"/>
        <v>35.929341486804333</v>
      </c>
      <c r="R68" s="2">
        <f t="shared" si="6"/>
        <v>1290.9175796753989</v>
      </c>
      <c r="S68" s="2"/>
    </row>
    <row r="69" spans="1:19" x14ac:dyDescent="0.25">
      <c r="A69" s="3">
        <v>42948</v>
      </c>
      <c r="B69" s="4">
        <v>9923</v>
      </c>
      <c r="C69" s="4">
        <f t="shared" si="9"/>
        <v>9649.8641666666699</v>
      </c>
      <c r="D69" s="4">
        <f t="shared" si="8"/>
        <v>9865.5500000000011</v>
      </c>
      <c r="E69" s="4">
        <f t="shared" si="10"/>
        <v>9886.4</v>
      </c>
      <c r="G69" s="4">
        <f t="shared" si="11"/>
        <v>9907.3218712118014</v>
      </c>
      <c r="H69" s="4">
        <f t="shared" si="12"/>
        <v>20.722638842542896</v>
      </c>
      <c r="I69" s="4">
        <f t="shared" si="13"/>
        <v>9903.4023390147522</v>
      </c>
      <c r="J69" s="4"/>
      <c r="K69" s="2"/>
      <c r="L69" s="2"/>
      <c r="M69" s="2"/>
      <c r="N69" s="2"/>
      <c r="O69" s="2"/>
      <c r="P69" s="2">
        <f t="shared" ref="P69:P121" si="14">B68-I68</f>
        <v>2.200667161583624</v>
      </c>
      <c r="Q69" s="2">
        <f t="shared" ref="Q69:Q122" si="15">ABS(P69)</f>
        <v>2.200667161583624</v>
      </c>
      <c r="R69" s="2">
        <f t="shared" ref="R69:R121" si="16">P69*P69</f>
        <v>4.842935956072524</v>
      </c>
      <c r="S69" s="2"/>
    </row>
    <row r="70" spans="1:19" x14ac:dyDescent="0.25">
      <c r="A70" s="3">
        <v>42979</v>
      </c>
      <c r="B70" s="4">
        <v>9942.5</v>
      </c>
      <c r="C70" s="4">
        <f t="shared" si="9"/>
        <v>9649.8641666666699</v>
      </c>
      <c r="D70" s="4">
        <f t="shared" si="8"/>
        <v>9892.875</v>
      </c>
      <c r="E70" s="4">
        <f t="shared" si="10"/>
        <v>9923</v>
      </c>
      <c r="G70" s="4">
        <f t="shared" si="11"/>
        <v>9930.9356080434754</v>
      </c>
      <c r="H70" s="4">
        <f t="shared" si="12"/>
        <v>22.168187837108462</v>
      </c>
      <c r="I70" s="4">
        <f t="shared" si="13"/>
        <v>9928.0445100543438</v>
      </c>
      <c r="J70" s="4"/>
      <c r="K70" s="2"/>
      <c r="L70" s="2"/>
      <c r="M70" s="2"/>
      <c r="N70" s="2"/>
      <c r="O70" s="2"/>
      <c r="P70" s="2">
        <f t="shared" si="14"/>
        <v>19.597660985247785</v>
      </c>
      <c r="Q70" s="2">
        <f t="shared" si="15"/>
        <v>19.597660985247785</v>
      </c>
      <c r="R70" s="2">
        <f t="shared" si="16"/>
        <v>384.06831609270318</v>
      </c>
      <c r="S70" s="2"/>
    </row>
    <row r="71" spans="1:19" x14ac:dyDescent="0.25">
      <c r="A71" s="3">
        <v>43009</v>
      </c>
      <c r="B71" s="4">
        <v>10013.5</v>
      </c>
      <c r="C71" s="4">
        <f t="shared" si="9"/>
        <v>9649.8641666666699</v>
      </c>
      <c r="D71" s="4">
        <f t="shared" ref="D71:D121" si="17">AVERAGE(B67:B70)</f>
        <v>9911.5750000000007</v>
      </c>
      <c r="E71" s="4">
        <f t="shared" si="10"/>
        <v>9942.5</v>
      </c>
      <c r="G71" s="4">
        <f t="shared" si="11"/>
        <v>9965.1830367044677</v>
      </c>
      <c r="H71" s="4">
        <f t="shared" si="12"/>
        <v>28.207808249050345</v>
      </c>
      <c r="I71" s="4">
        <f t="shared" si="13"/>
        <v>9953.1037958805846</v>
      </c>
      <c r="J71" s="4"/>
      <c r="K71" s="2"/>
      <c r="L71" s="2"/>
      <c r="M71" s="2"/>
      <c r="N71" s="2"/>
      <c r="O71" s="2"/>
      <c r="P71" s="2">
        <f t="shared" si="14"/>
        <v>14.455489945656154</v>
      </c>
      <c r="Q71" s="2">
        <f t="shared" si="15"/>
        <v>14.455489945656154</v>
      </c>
      <c r="R71" s="2">
        <f t="shared" si="16"/>
        <v>208.96118956896618</v>
      </c>
      <c r="S71" s="2"/>
    </row>
    <row r="72" spans="1:19" x14ac:dyDescent="0.25">
      <c r="A72" s="3">
        <v>43040</v>
      </c>
      <c r="B72" s="4">
        <v>10038.299999999999</v>
      </c>
      <c r="C72" s="4">
        <f t="shared" si="9"/>
        <v>9649.8641666666699</v>
      </c>
      <c r="D72" s="4">
        <f t="shared" si="17"/>
        <v>9941.35</v>
      </c>
      <c r="E72" s="4">
        <f t="shared" si="10"/>
        <v>10013.5</v>
      </c>
      <c r="G72" s="4">
        <f t="shared" si="11"/>
        <v>10002.372675962815</v>
      </c>
      <c r="H72" s="4">
        <f t="shared" si="12"/>
        <v>32.698723753698971</v>
      </c>
      <c r="I72" s="4">
        <f t="shared" si="13"/>
        <v>9993.3908449535174</v>
      </c>
      <c r="J72" s="4"/>
      <c r="K72" s="2"/>
      <c r="L72" s="2"/>
      <c r="M72" s="2"/>
      <c r="N72" s="2"/>
      <c r="O72" s="2"/>
      <c r="P72" s="2">
        <f t="shared" si="14"/>
        <v>60.396204119415415</v>
      </c>
      <c r="Q72" s="2">
        <f t="shared" si="15"/>
        <v>60.396204119415415</v>
      </c>
      <c r="R72" s="2">
        <f t="shared" si="16"/>
        <v>3647.7014720340917</v>
      </c>
      <c r="S72" s="2"/>
    </row>
    <row r="73" spans="1:19" x14ac:dyDescent="0.25">
      <c r="A73" s="3">
        <v>43070</v>
      </c>
      <c r="B73" s="4">
        <v>10057.9</v>
      </c>
      <c r="C73" s="4">
        <f t="shared" si="9"/>
        <v>9649.8641666666699</v>
      </c>
      <c r="D73" s="4">
        <f t="shared" si="17"/>
        <v>9979.3250000000007</v>
      </c>
      <c r="E73" s="4">
        <f t="shared" si="10"/>
        <v>10038.299999999999</v>
      </c>
      <c r="G73" s="4">
        <f t="shared" si="11"/>
        <v>10039.637119773211</v>
      </c>
      <c r="H73" s="4">
        <f t="shared" si="12"/>
        <v>34.981583782047579</v>
      </c>
      <c r="I73" s="4">
        <f t="shared" si="13"/>
        <v>10035.071399716515</v>
      </c>
      <c r="J73" s="4"/>
      <c r="K73" s="2"/>
      <c r="L73" s="2"/>
      <c r="M73" s="2"/>
      <c r="N73" s="2"/>
      <c r="O73" s="2"/>
      <c r="P73" s="2">
        <f t="shared" si="14"/>
        <v>44.909155046481828</v>
      </c>
      <c r="Q73" s="2">
        <f t="shared" si="15"/>
        <v>44.909155046481828</v>
      </c>
      <c r="R73" s="2">
        <f t="shared" si="16"/>
        <v>2016.8322069889443</v>
      </c>
      <c r="S73" s="2"/>
    </row>
    <row r="74" spans="1:19" x14ac:dyDescent="0.25">
      <c r="A74" s="3">
        <v>43101</v>
      </c>
      <c r="B74" s="4">
        <v>10054.9</v>
      </c>
      <c r="C74" s="4">
        <f t="shared" si="9"/>
        <v>9649.8641666666699</v>
      </c>
      <c r="D74" s="4">
        <f t="shared" si="17"/>
        <v>10013.049999999999</v>
      </c>
      <c r="E74" s="4">
        <f t="shared" si="10"/>
        <v>10057.9</v>
      </c>
      <c r="G74" s="4">
        <f t="shared" si="11"/>
        <v>10070.674962844208</v>
      </c>
      <c r="H74" s="4">
        <f t="shared" si="12"/>
        <v>33.00971342652231</v>
      </c>
      <c r="I74" s="4">
        <f t="shared" si="13"/>
        <v>10074.618703555259</v>
      </c>
      <c r="J74" s="4"/>
      <c r="K74" s="2"/>
      <c r="L74" s="2"/>
      <c r="M74" s="2"/>
      <c r="N74" s="2"/>
      <c r="O74" s="2"/>
      <c r="P74" s="2">
        <f t="shared" si="14"/>
        <v>22.828600283484775</v>
      </c>
      <c r="Q74" s="2">
        <f t="shared" si="15"/>
        <v>22.828600283484775</v>
      </c>
      <c r="R74" s="2">
        <f t="shared" si="16"/>
        <v>521.1449909031212</v>
      </c>
      <c r="S74" s="2"/>
    </row>
    <row r="75" spans="1:19" x14ac:dyDescent="0.25">
      <c r="A75" s="3">
        <v>43132</v>
      </c>
      <c r="B75" s="4">
        <v>10041.5</v>
      </c>
      <c r="C75" s="4">
        <f t="shared" si="9"/>
        <v>9649.8641666666699</v>
      </c>
      <c r="D75" s="4">
        <f t="shared" si="17"/>
        <v>10041.15</v>
      </c>
      <c r="E75" s="4">
        <f t="shared" si="10"/>
        <v>10054.9</v>
      </c>
      <c r="G75" s="4">
        <f t="shared" si="11"/>
        <v>10091.247741016585</v>
      </c>
      <c r="H75" s="4">
        <f t="shared" si="12"/>
        <v>26.791245799449293</v>
      </c>
      <c r="I75" s="4">
        <f t="shared" si="13"/>
        <v>10103.68467627073</v>
      </c>
      <c r="J75" s="4"/>
      <c r="K75" s="2"/>
      <c r="L75" s="2"/>
      <c r="M75" s="2"/>
      <c r="N75" s="2"/>
      <c r="O75" s="2"/>
      <c r="P75" s="2">
        <f t="shared" si="14"/>
        <v>-19.718703555259708</v>
      </c>
      <c r="Q75" s="2">
        <f t="shared" si="15"/>
        <v>19.718703555259708</v>
      </c>
      <c r="R75" s="2">
        <f t="shared" si="16"/>
        <v>388.82726990021183</v>
      </c>
      <c r="S75" s="2"/>
    </row>
    <row r="76" spans="1:19" x14ac:dyDescent="0.25">
      <c r="A76" s="3">
        <v>43160</v>
      </c>
      <c r="B76" s="4">
        <v>10082</v>
      </c>
      <c r="C76" s="4">
        <f t="shared" si="9"/>
        <v>9649.8641666666699</v>
      </c>
      <c r="D76" s="4">
        <f t="shared" si="17"/>
        <v>10048.15</v>
      </c>
      <c r="E76" s="4">
        <f t="shared" si="10"/>
        <v>10041.5</v>
      </c>
      <c r="G76" s="4">
        <f t="shared" si="11"/>
        <v>10110.831189452829</v>
      </c>
      <c r="H76" s="4">
        <f t="shared" si="12"/>
        <v>23.187347117846645</v>
      </c>
      <c r="I76" s="4">
        <f t="shared" si="13"/>
        <v>10118.038986816035</v>
      </c>
      <c r="J76" s="4"/>
      <c r="K76" s="2"/>
      <c r="L76" s="2"/>
      <c r="M76" s="2"/>
      <c r="N76" s="2"/>
      <c r="O76" s="2"/>
      <c r="P76" s="2">
        <f t="shared" si="14"/>
        <v>-62.184676270730051</v>
      </c>
      <c r="Q76" s="2">
        <f t="shared" si="15"/>
        <v>62.184676270730051</v>
      </c>
      <c r="R76" s="2">
        <f t="shared" si="16"/>
        <v>3866.9339628954972</v>
      </c>
      <c r="S76" s="2"/>
    </row>
    <row r="77" spans="1:19" x14ac:dyDescent="0.25">
      <c r="A77" s="3">
        <v>43191</v>
      </c>
      <c r="B77" s="4">
        <v>10035.9</v>
      </c>
      <c r="C77" s="4">
        <f t="shared" si="9"/>
        <v>9649.8641666666699</v>
      </c>
      <c r="D77" s="4">
        <f t="shared" si="17"/>
        <v>10059.075000000001</v>
      </c>
      <c r="E77" s="4">
        <f t="shared" si="10"/>
        <v>10082</v>
      </c>
      <c r="G77" s="4">
        <f t="shared" si="11"/>
        <v>10114.39482925654</v>
      </c>
      <c r="H77" s="4">
        <f t="shared" si="12"/>
        <v>13.375493460778992</v>
      </c>
      <c r="I77" s="4">
        <f t="shared" si="13"/>
        <v>10134.018536570675</v>
      </c>
      <c r="J77" s="4"/>
      <c r="K77" s="2"/>
      <c r="L77" s="2"/>
      <c r="M77" s="2"/>
      <c r="N77" s="2"/>
      <c r="O77" s="2"/>
      <c r="P77" s="2">
        <f t="shared" si="14"/>
        <v>-36.038986816034594</v>
      </c>
      <c r="Q77" s="2">
        <f t="shared" si="15"/>
        <v>36.038986816034594</v>
      </c>
      <c r="R77" s="2">
        <f t="shared" si="16"/>
        <v>1298.8085707263153</v>
      </c>
      <c r="S77" s="2"/>
    </row>
    <row r="78" spans="1:19" x14ac:dyDescent="0.25">
      <c r="A78" s="3">
        <v>43221</v>
      </c>
      <c r="B78" s="4">
        <v>10091.6</v>
      </c>
      <c r="C78" s="4">
        <f t="shared" si="9"/>
        <v>9649.8641666666699</v>
      </c>
      <c r="D78" s="4">
        <f t="shared" si="17"/>
        <v>10053.575000000001</v>
      </c>
      <c r="E78" s="4">
        <f t="shared" si="10"/>
        <v>10035.9</v>
      </c>
      <c r="G78" s="4">
        <f t="shared" si="11"/>
        <v>10120.536258173855</v>
      </c>
      <c r="H78" s="4">
        <f t="shared" si="12"/>
        <v>9.7584611890471713</v>
      </c>
      <c r="I78" s="4">
        <f t="shared" si="13"/>
        <v>10127.770322717319</v>
      </c>
      <c r="J78" s="4"/>
      <c r="K78" s="2"/>
      <c r="L78" s="2"/>
      <c r="M78" s="2"/>
      <c r="N78" s="2"/>
      <c r="O78" s="2"/>
      <c r="P78" s="2">
        <f t="shared" si="14"/>
        <v>-98.118536570675133</v>
      </c>
      <c r="Q78" s="2">
        <f t="shared" si="15"/>
        <v>98.118536570675133</v>
      </c>
      <c r="R78" s="2">
        <f t="shared" si="16"/>
        <v>9627.2472187709136</v>
      </c>
      <c r="S78" s="2"/>
    </row>
    <row r="79" spans="1:19" x14ac:dyDescent="0.25">
      <c r="A79" s="3">
        <v>43252</v>
      </c>
      <c r="B79" s="4">
        <v>10101.200000000001</v>
      </c>
      <c r="C79" s="4">
        <f t="shared" si="9"/>
        <v>9649.8641666666699</v>
      </c>
      <c r="D79" s="4">
        <f t="shared" si="17"/>
        <v>10062.75</v>
      </c>
      <c r="E79" s="4">
        <f t="shared" si="10"/>
        <v>10091.6</v>
      </c>
      <c r="G79" s="4">
        <f t="shared" si="11"/>
        <v>10124.475775490322</v>
      </c>
      <c r="H79" s="4">
        <f t="shared" si="12"/>
        <v>6.8489892527569172</v>
      </c>
      <c r="I79" s="4">
        <f t="shared" si="13"/>
        <v>10130.294719362902</v>
      </c>
      <c r="J79" s="4"/>
      <c r="K79" s="2"/>
      <c r="L79" s="2"/>
      <c r="M79" s="2"/>
      <c r="N79" s="2"/>
      <c r="O79" s="2"/>
      <c r="P79" s="2">
        <f t="shared" si="14"/>
        <v>-36.170322717318413</v>
      </c>
      <c r="Q79" s="2">
        <f t="shared" si="15"/>
        <v>36.170322717318413</v>
      </c>
      <c r="R79" s="2">
        <f t="shared" si="16"/>
        <v>1308.2922454749605</v>
      </c>
      <c r="S79" s="2"/>
    </row>
    <row r="80" spans="1:19" x14ac:dyDescent="0.25">
      <c r="A80" s="3">
        <v>43282</v>
      </c>
      <c r="B80" s="4">
        <v>10114</v>
      </c>
      <c r="C80" s="4">
        <f t="shared" si="9"/>
        <v>9649.8641666666699</v>
      </c>
      <c r="D80" s="4">
        <f t="shared" si="17"/>
        <v>10077.674999999999</v>
      </c>
      <c r="E80" s="4">
        <f t="shared" si="10"/>
        <v>10101.200000000001</v>
      </c>
      <c r="G80" s="4">
        <f t="shared" si="11"/>
        <v>10127.859811794464</v>
      </c>
      <c r="H80" s="4">
        <f t="shared" si="12"/>
        <v>5.1165127784493452</v>
      </c>
      <c r="I80" s="4">
        <f t="shared" si="13"/>
        <v>10131.32476474308</v>
      </c>
      <c r="J80" s="4"/>
      <c r="K80" s="2"/>
      <c r="L80" s="2"/>
      <c r="M80" s="2"/>
      <c r="N80" s="2"/>
      <c r="O80" s="2"/>
      <c r="P80" s="2">
        <f t="shared" si="14"/>
        <v>-29.094719362901742</v>
      </c>
      <c r="Q80" s="2">
        <f t="shared" si="15"/>
        <v>29.094719362901742</v>
      </c>
      <c r="R80" s="2">
        <f t="shared" si="16"/>
        <v>846.50269480600957</v>
      </c>
      <c r="S80" s="2"/>
    </row>
    <row r="81" spans="1:19" x14ac:dyDescent="0.25">
      <c r="A81" s="3">
        <v>43313</v>
      </c>
      <c r="B81" s="4">
        <v>10213.9</v>
      </c>
      <c r="C81" s="4">
        <f t="shared" si="9"/>
        <v>9649.8641666666699</v>
      </c>
      <c r="D81" s="4">
        <f t="shared" si="17"/>
        <v>10085.674999999999</v>
      </c>
      <c r="E81" s="4">
        <f t="shared" si="10"/>
        <v>10114</v>
      </c>
      <c r="G81" s="4">
        <f t="shared" si="11"/>
        <v>10149.161059658332</v>
      </c>
      <c r="H81" s="4">
        <f t="shared" si="12"/>
        <v>13.208880321158878</v>
      </c>
      <c r="I81" s="4">
        <f t="shared" si="13"/>
        <v>10132.976324572914</v>
      </c>
      <c r="J81" s="4"/>
      <c r="K81" s="2"/>
      <c r="L81" s="2"/>
      <c r="M81" s="2"/>
      <c r="N81" s="2"/>
      <c r="O81" s="2"/>
      <c r="P81" s="2">
        <f t="shared" si="14"/>
        <v>-17.324764743079868</v>
      </c>
      <c r="Q81" s="2">
        <f t="shared" si="15"/>
        <v>17.324764743079868</v>
      </c>
      <c r="R81" s="2">
        <f t="shared" si="16"/>
        <v>300.14747340306326</v>
      </c>
      <c r="S81" s="2"/>
    </row>
    <row r="82" spans="1:19" x14ac:dyDescent="0.25">
      <c r="A82" s="3">
        <v>43344</v>
      </c>
      <c r="B82" s="4">
        <v>10264.4</v>
      </c>
      <c r="C82" s="4">
        <f t="shared" si="9"/>
        <v>9649.8641666666699</v>
      </c>
      <c r="D82" s="4">
        <f t="shared" si="17"/>
        <v>10130.175000000001</v>
      </c>
      <c r="E82" s="4">
        <f t="shared" si="10"/>
        <v>10213.9</v>
      </c>
      <c r="G82" s="4">
        <f t="shared" si="11"/>
        <v>10182.775951983593</v>
      </c>
      <c r="H82" s="4">
        <f t="shared" si="12"/>
        <v>23.411886323209625</v>
      </c>
      <c r="I82" s="4">
        <f t="shared" si="13"/>
        <v>10162.369939979491</v>
      </c>
      <c r="J82" s="4"/>
      <c r="K82" s="2"/>
      <c r="L82" s="2"/>
      <c r="M82" s="2"/>
      <c r="N82" s="2"/>
      <c r="O82" s="2"/>
      <c r="P82" s="2">
        <f t="shared" si="14"/>
        <v>80.923675427085982</v>
      </c>
      <c r="Q82" s="2">
        <f t="shared" si="15"/>
        <v>80.923675427085982</v>
      </c>
      <c r="R82" s="2">
        <f t="shared" si="16"/>
        <v>6548.6412446283593</v>
      </c>
      <c r="S82" s="2"/>
    </row>
    <row r="83" spans="1:19" x14ac:dyDescent="0.25">
      <c r="A83" s="3">
        <v>43374</v>
      </c>
      <c r="B83" s="4">
        <v>10265.9</v>
      </c>
      <c r="C83" s="4">
        <f t="shared" si="9"/>
        <v>9649.8641666666699</v>
      </c>
      <c r="D83" s="4">
        <f t="shared" si="17"/>
        <v>10173.375</v>
      </c>
      <c r="E83" s="4">
        <f t="shared" si="10"/>
        <v>10264.4</v>
      </c>
      <c r="G83" s="4">
        <f t="shared" si="11"/>
        <v>10218.130270645441</v>
      </c>
      <c r="H83" s="4">
        <f t="shared" si="12"/>
        <v>29.383102492528856</v>
      </c>
      <c r="I83" s="4">
        <f t="shared" si="13"/>
        <v>10206.187838306801</v>
      </c>
      <c r="J83" s="4"/>
      <c r="K83" s="2"/>
      <c r="L83" s="2"/>
      <c r="M83" s="2"/>
      <c r="N83" s="2"/>
      <c r="O83" s="2"/>
      <c r="P83" s="2">
        <f t="shared" si="14"/>
        <v>102.03006002050824</v>
      </c>
      <c r="Q83" s="2">
        <f t="shared" si="15"/>
        <v>102.03006002050824</v>
      </c>
      <c r="R83" s="2">
        <f t="shared" si="16"/>
        <v>10410.133147788514</v>
      </c>
      <c r="S83" s="2"/>
    </row>
    <row r="84" spans="1:19" x14ac:dyDescent="0.25">
      <c r="A84" s="3">
        <v>43405</v>
      </c>
      <c r="B84" s="4">
        <v>10342.700000000001</v>
      </c>
      <c r="C84" s="4">
        <f t="shared" si="9"/>
        <v>9649.8641666666699</v>
      </c>
      <c r="D84" s="4">
        <f t="shared" si="17"/>
        <v>10214.550000000001</v>
      </c>
      <c r="E84" s="4">
        <f t="shared" si="10"/>
        <v>10265.9</v>
      </c>
      <c r="G84" s="4">
        <f t="shared" si="11"/>
        <v>10266.550698510377</v>
      </c>
      <c r="H84" s="4">
        <f t="shared" si="12"/>
        <v>38.901765178732347</v>
      </c>
      <c r="I84" s="4">
        <f t="shared" si="13"/>
        <v>10247.51337313797</v>
      </c>
      <c r="J84" s="4"/>
      <c r="K84" s="2"/>
      <c r="L84" s="2"/>
      <c r="M84" s="2"/>
      <c r="N84" s="2"/>
      <c r="O84" s="2"/>
      <c r="P84" s="2">
        <f t="shared" si="14"/>
        <v>59.712161693198141</v>
      </c>
      <c r="Q84" s="2">
        <f t="shared" si="15"/>
        <v>59.712161693198141</v>
      </c>
      <c r="R84" s="2">
        <f t="shared" si="16"/>
        <v>3565.5422540746395</v>
      </c>
      <c r="S84" s="2"/>
    </row>
    <row r="85" spans="1:19" x14ac:dyDescent="0.25">
      <c r="A85" s="3">
        <v>43435</v>
      </c>
      <c r="B85" s="4">
        <v>10351.799999999999</v>
      </c>
      <c r="C85" s="4">
        <f t="shared" si="9"/>
        <v>9649.8641666666699</v>
      </c>
      <c r="D85" s="4">
        <f t="shared" si="17"/>
        <v>10271.724999999999</v>
      </c>
      <c r="E85" s="4">
        <f t="shared" si="10"/>
        <v>10342.700000000001</v>
      </c>
      <c r="G85" s="4">
        <f t="shared" si="11"/>
        <v>10314.721970951288</v>
      </c>
      <c r="H85" s="4">
        <f t="shared" si="12"/>
        <v>43.536518809822027</v>
      </c>
      <c r="I85" s="4">
        <f t="shared" si="13"/>
        <v>10305.452463689109</v>
      </c>
      <c r="J85" s="4"/>
      <c r="K85" s="2"/>
      <c r="L85" s="2"/>
      <c r="M85" s="2"/>
      <c r="N85" s="2"/>
      <c r="O85" s="2"/>
      <c r="P85" s="2">
        <f t="shared" si="14"/>
        <v>95.186626862030607</v>
      </c>
      <c r="Q85" s="2">
        <f t="shared" si="15"/>
        <v>95.186626862030607</v>
      </c>
      <c r="R85" s="2">
        <f t="shared" si="16"/>
        <v>9060.4939333714465</v>
      </c>
      <c r="S85" s="2"/>
    </row>
    <row r="86" spans="1:19" x14ac:dyDescent="0.25">
      <c r="A86" s="3">
        <v>43466</v>
      </c>
      <c r="B86" s="4">
        <v>10394.4</v>
      </c>
      <c r="C86" s="4">
        <f t="shared" si="9"/>
        <v>9649.8641666666699</v>
      </c>
      <c r="D86" s="4">
        <f t="shared" si="17"/>
        <v>10306.200000000001</v>
      </c>
      <c r="E86" s="4">
        <f t="shared" si="10"/>
        <v>10351.799999999999</v>
      </c>
      <c r="G86" s="4">
        <f t="shared" si="11"/>
        <v>10365.486791808889</v>
      </c>
      <c r="H86" s="4">
        <f t="shared" si="12"/>
        <v>47.150669833711554</v>
      </c>
      <c r="I86" s="4">
        <f t="shared" si="13"/>
        <v>10358.25848976111</v>
      </c>
      <c r="J86" s="4"/>
      <c r="K86" s="2"/>
      <c r="L86" s="2"/>
      <c r="M86" s="2"/>
      <c r="N86" s="2"/>
      <c r="O86" s="2"/>
      <c r="P86" s="2">
        <f t="shared" si="14"/>
        <v>46.347536310890064</v>
      </c>
      <c r="Q86" s="2">
        <f t="shared" si="15"/>
        <v>46.347536310890064</v>
      </c>
      <c r="R86" s="2">
        <f t="shared" si="16"/>
        <v>2148.0941220892728</v>
      </c>
      <c r="S86" s="2"/>
    </row>
    <row r="87" spans="1:19" x14ac:dyDescent="0.25">
      <c r="A87" s="3">
        <v>43497</v>
      </c>
      <c r="B87" s="4">
        <v>10402.200000000001</v>
      </c>
      <c r="C87" s="4">
        <f t="shared" si="9"/>
        <v>9649.8641666666699</v>
      </c>
      <c r="D87" s="4">
        <f t="shared" si="17"/>
        <v>10338.699999999999</v>
      </c>
      <c r="E87" s="4">
        <f t="shared" si="10"/>
        <v>10394.4</v>
      </c>
      <c r="G87" s="4">
        <f t="shared" si="11"/>
        <v>10410.549969314081</v>
      </c>
      <c r="H87" s="4">
        <f t="shared" si="12"/>
        <v>46.106923669451561</v>
      </c>
      <c r="I87" s="4">
        <f t="shared" si="13"/>
        <v>10412.6374616426</v>
      </c>
      <c r="J87" s="4"/>
      <c r="K87" s="2"/>
      <c r="L87" s="2"/>
      <c r="M87" s="2"/>
      <c r="N87" s="2"/>
      <c r="O87" s="2"/>
      <c r="P87" s="2">
        <f t="shared" si="14"/>
        <v>36.141510238889168</v>
      </c>
      <c r="Q87" s="2">
        <f t="shared" si="15"/>
        <v>36.141510238889168</v>
      </c>
      <c r="R87" s="2">
        <f t="shared" si="16"/>
        <v>1306.2087623477305</v>
      </c>
      <c r="S87" s="2"/>
    </row>
    <row r="88" spans="1:19" x14ac:dyDescent="0.25">
      <c r="A88" s="3">
        <v>43525</v>
      </c>
      <c r="B88" s="4">
        <v>10371.299999999999</v>
      </c>
      <c r="C88" s="4">
        <f t="shared" si="9"/>
        <v>9649.8641666666699</v>
      </c>
      <c r="D88" s="4">
        <f t="shared" si="17"/>
        <v>10372.775000000001</v>
      </c>
      <c r="E88" s="4">
        <f t="shared" si="10"/>
        <v>10402.200000000001</v>
      </c>
      <c r="G88" s="4">
        <f t="shared" si="11"/>
        <v>10439.585514386827</v>
      </c>
      <c r="H88" s="4">
        <f t="shared" si="12"/>
        <v>37.571234371098612</v>
      </c>
      <c r="I88" s="4">
        <f t="shared" si="13"/>
        <v>10456.656892983532</v>
      </c>
      <c r="J88" s="4"/>
      <c r="K88" s="2"/>
      <c r="L88" s="2"/>
      <c r="M88" s="2"/>
      <c r="N88" s="2"/>
      <c r="O88" s="2"/>
      <c r="P88" s="2">
        <f t="shared" si="14"/>
        <v>-10.437461642599374</v>
      </c>
      <c r="Q88" s="2">
        <f t="shared" si="15"/>
        <v>10.437461642599374</v>
      </c>
      <c r="R88" s="2">
        <f t="shared" si="16"/>
        <v>108.94060554073322</v>
      </c>
      <c r="S88" s="2"/>
    </row>
    <row r="89" spans="1:19" x14ac:dyDescent="0.25">
      <c r="A89" s="3">
        <v>43556</v>
      </c>
      <c r="B89" s="4">
        <v>10434.200000000001</v>
      </c>
      <c r="C89" s="4">
        <f t="shared" si="9"/>
        <v>9649.8641666666699</v>
      </c>
      <c r="D89" s="4">
        <f t="shared" si="17"/>
        <v>10379.924999999999</v>
      </c>
      <c r="E89" s="4">
        <f t="shared" si="10"/>
        <v>10371.299999999999</v>
      </c>
      <c r="G89" s="4">
        <f t="shared" si="11"/>
        <v>10468.56539900634</v>
      </c>
      <c r="H89" s="4">
        <f t="shared" si="12"/>
        <v>33.275559495306076</v>
      </c>
      <c r="I89" s="4">
        <f t="shared" si="13"/>
        <v>10477.156748757925</v>
      </c>
      <c r="J89" s="4"/>
      <c r="K89" s="2"/>
      <c r="L89" s="2"/>
      <c r="M89" s="2"/>
      <c r="N89" s="2"/>
      <c r="O89" s="2"/>
      <c r="P89" s="2">
        <f t="shared" si="14"/>
        <v>-85.356892983532816</v>
      </c>
      <c r="Q89" s="2">
        <f t="shared" si="15"/>
        <v>85.356892983532816</v>
      </c>
      <c r="R89" s="2">
        <f t="shared" si="16"/>
        <v>7285.799179802274</v>
      </c>
      <c r="S89" s="2"/>
    </row>
    <row r="90" spans="1:19" x14ac:dyDescent="0.25">
      <c r="A90" s="3">
        <v>43586</v>
      </c>
      <c r="B90" s="4">
        <v>10458.799999999999</v>
      </c>
      <c r="C90" s="4">
        <f t="shared" si="9"/>
        <v>9649.8641666666699</v>
      </c>
      <c r="D90" s="4">
        <f t="shared" si="17"/>
        <v>10400.525</v>
      </c>
      <c r="E90" s="4">
        <f t="shared" si="10"/>
        <v>10434.200000000001</v>
      </c>
      <c r="G90" s="4">
        <f t="shared" si="11"/>
        <v>10493.232766801319</v>
      </c>
      <c r="H90" s="4">
        <f t="shared" si="12"/>
        <v>28.971463645142247</v>
      </c>
      <c r="I90" s="4">
        <f t="shared" si="13"/>
        <v>10501.840958501647</v>
      </c>
      <c r="J90" s="4"/>
      <c r="K90" s="2"/>
      <c r="L90" s="2"/>
      <c r="M90" s="2"/>
      <c r="N90" s="2"/>
      <c r="O90" s="2"/>
      <c r="P90" s="2">
        <f t="shared" si="14"/>
        <v>-42.956748757924288</v>
      </c>
      <c r="Q90" s="2">
        <f t="shared" si="15"/>
        <v>42.956748757924288</v>
      </c>
      <c r="R90" s="2">
        <f t="shared" si="16"/>
        <v>1845.2822638514299</v>
      </c>
      <c r="S90" s="2"/>
    </row>
    <row r="91" spans="1:19" x14ac:dyDescent="0.25">
      <c r="A91" s="3">
        <v>43617</v>
      </c>
      <c r="B91" s="4">
        <v>10477.9</v>
      </c>
      <c r="C91" s="4">
        <f t="shared" si="9"/>
        <v>9649.8641666666699</v>
      </c>
      <c r="D91" s="4">
        <f t="shared" si="17"/>
        <v>10416.625</v>
      </c>
      <c r="E91" s="4">
        <f t="shared" si="10"/>
        <v>10458.799999999999</v>
      </c>
      <c r="G91" s="4">
        <f t="shared" si="11"/>
        <v>10513.343384357169</v>
      </c>
      <c r="H91" s="4">
        <f t="shared" si="12"/>
        <v>24.541040600496473</v>
      </c>
      <c r="I91" s="4">
        <f t="shared" si="13"/>
        <v>10522.204230446461</v>
      </c>
      <c r="J91" s="4"/>
      <c r="K91" s="2"/>
      <c r="L91" s="2"/>
      <c r="M91" s="2"/>
      <c r="N91" s="2"/>
      <c r="O91" s="2"/>
      <c r="P91" s="2">
        <f t="shared" si="14"/>
        <v>-43.040958501647765</v>
      </c>
      <c r="Q91" s="2">
        <f t="shared" si="15"/>
        <v>43.040958501647765</v>
      </c>
      <c r="R91" s="2">
        <f t="shared" si="16"/>
        <v>1852.524108740565</v>
      </c>
      <c r="S91" s="2"/>
    </row>
    <row r="92" spans="1:19" x14ac:dyDescent="0.25">
      <c r="A92" s="3">
        <v>43647</v>
      </c>
      <c r="B92" s="4">
        <v>10493.5</v>
      </c>
      <c r="C92" s="4">
        <f t="shared" si="9"/>
        <v>9649.8641666666699</v>
      </c>
      <c r="D92" s="4">
        <f t="shared" si="17"/>
        <v>10435.549999999999</v>
      </c>
      <c r="E92" s="4">
        <f t="shared" si="10"/>
        <v>10477.9</v>
      </c>
      <c r="G92" s="4">
        <f t="shared" si="11"/>
        <v>10529.007539966133</v>
      </c>
      <c r="H92" s="4">
        <f t="shared" si="12"/>
        <v>20.102598104729978</v>
      </c>
      <c r="I92" s="4">
        <f t="shared" si="13"/>
        <v>10537.884424957665</v>
      </c>
      <c r="J92" s="4"/>
      <c r="K92" s="2"/>
      <c r="L92" s="2"/>
      <c r="M92" s="2"/>
      <c r="N92" s="2"/>
      <c r="O92" s="2"/>
      <c r="P92" s="2">
        <f t="shared" si="14"/>
        <v>-44.304230446461588</v>
      </c>
      <c r="Q92" s="2">
        <f t="shared" si="15"/>
        <v>44.304230446461588</v>
      </c>
      <c r="R92" s="2">
        <f t="shared" si="16"/>
        <v>1962.864835453174</v>
      </c>
      <c r="S92" s="2"/>
    </row>
    <row r="93" spans="1:19" x14ac:dyDescent="0.25">
      <c r="A93" s="3">
        <v>43678</v>
      </c>
      <c r="B93" s="4">
        <v>10462.799999999999</v>
      </c>
      <c r="C93" s="4">
        <f t="shared" si="9"/>
        <v>9649.8641666666699</v>
      </c>
      <c r="D93" s="4">
        <f t="shared" si="17"/>
        <v>10466.1</v>
      </c>
      <c r="E93" s="4">
        <f t="shared" si="10"/>
        <v>10493.5</v>
      </c>
      <c r="G93" s="4">
        <f t="shared" si="11"/>
        <v>10531.848110456689</v>
      </c>
      <c r="H93" s="4">
        <f t="shared" si="12"/>
        <v>11.471584297643126</v>
      </c>
      <c r="I93" s="4">
        <f t="shared" si="13"/>
        <v>10549.110138070862</v>
      </c>
      <c r="J93" s="4"/>
      <c r="K93" s="2"/>
      <c r="L93" s="2"/>
      <c r="M93" s="2"/>
      <c r="N93" s="2"/>
      <c r="O93" s="2"/>
      <c r="P93" s="2">
        <f t="shared" si="14"/>
        <v>-44.384424957665033</v>
      </c>
      <c r="Q93" s="2">
        <f t="shared" si="15"/>
        <v>44.384424957665033</v>
      </c>
      <c r="R93" s="2">
        <f t="shared" si="16"/>
        <v>1969.9771788225987</v>
      </c>
      <c r="S93" s="2"/>
    </row>
    <row r="94" spans="1:19" x14ac:dyDescent="0.25">
      <c r="A94" s="3">
        <v>43709</v>
      </c>
      <c r="B94" s="4">
        <v>10548.3</v>
      </c>
      <c r="C94" s="4">
        <f t="shared" si="9"/>
        <v>9649.8641666666699</v>
      </c>
      <c r="D94" s="4">
        <f t="shared" si="17"/>
        <v>10473.25</v>
      </c>
      <c r="E94" s="4">
        <f t="shared" si="10"/>
        <v>10462.799999999999</v>
      </c>
      <c r="G94" s="4">
        <f t="shared" si="11"/>
        <v>10544.315755803467</v>
      </c>
      <c r="H94" s="4">
        <f t="shared" si="12"/>
        <v>11.969614822210676</v>
      </c>
      <c r="I94" s="4">
        <f t="shared" si="13"/>
        <v>10543.319694754333</v>
      </c>
      <c r="J94" s="4"/>
      <c r="K94" s="2"/>
      <c r="L94" s="2"/>
      <c r="M94" s="2"/>
      <c r="N94" s="2"/>
      <c r="O94" s="2"/>
      <c r="P94" s="2">
        <f t="shared" si="14"/>
        <v>-86.310138070863104</v>
      </c>
      <c r="Q94" s="2">
        <f t="shared" si="15"/>
        <v>86.310138070863104</v>
      </c>
      <c r="R94" s="2">
        <f t="shared" si="16"/>
        <v>7449.4399338114526</v>
      </c>
      <c r="S94" s="2"/>
    </row>
    <row r="95" spans="1:19" x14ac:dyDescent="0.25">
      <c r="A95" s="3">
        <v>43739</v>
      </c>
      <c r="B95" s="4">
        <v>10574.4</v>
      </c>
      <c r="C95" s="4">
        <f t="shared" si="9"/>
        <v>9649.8641666666699</v>
      </c>
      <c r="D95" s="4">
        <f t="shared" si="17"/>
        <v>10495.625</v>
      </c>
      <c r="E95" s="4">
        <f t="shared" si="10"/>
        <v>10548.3</v>
      </c>
      <c r="G95" s="4">
        <f t="shared" si="11"/>
        <v>10559.908296500544</v>
      </c>
      <c r="H95" s="4">
        <f t="shared" si="12"/>
        <v>13.781077759643539</v>
      </c>
      <c r="I95" s="4">
        <f t="shared" si="13"/>
        <v>10556.285370625677</v>
      </c>
      <c r="J95" s="4"/>
      <c r="K95" s="2"/>
      <c r="L95" s="2"/>
      <c r="M95" s="2"/>
      <c r="N95" s="2"/>
      <c r="O95" s="2"/>
      <c r="P95" s="2">
        <f t="shared" si="14"/>
        <v>4.9803052456663863</v>
      </c>
      <c r="Q95" s="2">
        <f t="shared" si="15"/>
        <v>4.9803052456663863</v>
      </c>
      <c r="R95" s="2">
        <f t="shared" si="16"/>
        <v>24.803440340012123</v>
      </c>
      <c r="S95" s="2"/>
    </row>
    <row r="96" spans="1:19" x14ac:dyDescent="0.25">
      <c r="A96" s="3">
        <v>43770</v>
      </c>
      <c r="B96" s="4">
        <v>10573</v>
      </c>
      <c r="C96" s="4">
        <f t="shared" si="9"/>
        <v>9649.8641666666699</v>
      </c>
      <c r="D96" s="4">
        <f t="shared" si="17"/>
        <v>10519.75</v>
      </c>
      <c r="E96" s="4">
        <f t="shared" si="10"/>
        <v>10574.4</v>
      </c>
      <c r="G96" s="4">
        <f t="shared" si="11"/>
        <v>10573.551499408151</v>
      </c>
      <c r="H96" s="4">
        <f t="shared" si="12"/>
        <v>13.712140333625619</v>
      </c>
      <c r="I96" s="4">
        <f t="shared" si="13"/>
        <v>10573.689374260188</v>
      </c>
      <c r="J96" s="4"/>
      <c r="K96" s="2"/>
      <c r="L96" s="2"/>
      <c r="M96" s="2"/>
      <c r="N96" s="2"/>
      <c r="O96" s="2"/>
      <c r="P96" s="2">
        <f t="shared" si="14"/>
        <v>18.114629374322249</v>
      </c>
      <c r="Q96" s="2">
        <f t="shared" si="15"/>
        <v>18.114629374322249</v>
      </c>
      <c r="R96" s="2">
        <f t="shared" si="16"/>
        <v>328.13979736905844</v>
      </c>
      <c r="S96" s="2"/>
    </row>
    <row r="97" spans="1:19" x14ac:dyDescent="0.25">
      <c r="A97" s="3">
        <v>43800</v>
      </c>
      <c r="B97" s="4">
        <v>10662.2</v>
      </c>
      <c r="C97" s="4">
        <f t="shared" si="9"/>
        <v>9649.8641666666699</v>
      </c>
      <c r="D97" s="4">
        <f t="shared" si="17"/>
        <v>10539.625</v>
      </c>
      <c r="E97" s="4">
        <f t="shared" si="10"/>
        <v>10573</v>
      </c>
      <c r="G97" s="4">
        <f t="shared" si="11"/>
        <v>10602.250911793422</v>
      </c>
      <c r="H97" s="4">
        <f t="shared" si="12"/>
        <v>21.205776359448304</v>
      </c>
      <c r="I97" s="4">
        <f t="shared" si="13"/>
        <v>10587.263639741777</v>
      </c>
      <c r="J97" s="4"/>
      <c r="K97" s="2"/>
      <c r="L97" s="2"/>
      <c r="M97" s="2"/>
      <c r="N97" s="2"/>
      <c r="O97" s="2"/>
      <c r="P97" s="2">
        <f t="shared" si="14"/>
        <v>-0.68937426018783299</v>
      </c>
      <c r="Q97" s="2">
        <f t="shared" si="15"/>
        <v>0.68937426018783299</v>
      </c>
      <c r="R97" s="2">
        <f t="shared" si="16"/>
        <v>0.47523687060952208</v>
      </c>
      <c r="S97" s="2"/>
    </row>
    <row r="98" spans="1:19" x14ac:dyDescent="0.25">
      <c r="A98" s="3">
        <v>43831</v>
      </c>
      <c r="B98" s="4">
        <v>10658</v>
      </c>
      <c r="C98" s="4">
        <f t="shared" si="9"/>
        <v>9649.8641666666699</v>
      </c>
      <c r="D98" s="4">
        <f t="shared" si="17"/>
        <v>10589.474999999999</v>
      </c>
      <c r="E98" s="4">
        <f t="shared" si="10"/>
        <v>10662.2</v>
      </c>
      <c r="G98" s="4">
        <f t="shared" si="11"/>
        <v>10630.365350522297</v>
      </c>
      <c r="H98" s="4">
        <f t="shared" si="12"/>
        <v>24.660107544161669</v>
      </c>
      <c r="I98" s="4">
        <f t="shared" si="13"/>
        <v>10623.45668815287</v>
      </c>
      <c r="J98" s="4"/>
      <c r="K98" s="2"/>
      <c r="L98" s="2"/>
      <c r="M98" s="2"/>
      <c r="N98" s="2"/>
      <c r="O98" s="2"/>
      <c r="P98" s="2">
        <f t="shared" si="14"/>
        <v>74.936360258223431</v>
      </c>
      <c r="Q98" s="2">
        <f t="shared" si="15"/>
        <v>74.936360258223431</v>
      </c>
      <c r="R98" s="2">
        <f t="shared" si="16"/>
        <v>5615.458088750248</v>
      </c>
      <c r="S98" s="2"/>
    </row>
    <row r="99" spans="1:19" x14ac:dyDescent="0.25">
      <c r="A99" s="3">
        <v>43862</v>
      </c>
      <c r="B99" s="4">
        <v>10674.7</v>
      </c>
      <c r="C99" s="4">
        <f t="shared" si="9"/>
        <v>9649.8641666666699</v>
      </c>
      <c r="D99" s="4">
        <f t="shared" si="17"/>
        <v>10616.900000000001</v>
      </c>
      <c r="E99" s="4">
        <f t="shared" si="10"/>
        <v>10658</v>
      </c>
      <c r="G99" s="4">
        <f t="shared" si="11"/>
        <v>10658.960366453168</v>
      </c>
      <c r="H99" s="4">
        <f t="shared" si="12"/>
        <v>26.62756173751605</v>
      </c>
      <c r="I99" s="4">
        <f t="shared" si="13"/>
        <v>10655.025458066459</v>
      </c>
      <c r="J99" s="4"/>
      <c r="K99" s="2"/>
      <c r="L99" s="2"/>
      <c r="M99" s="2"/>
      <c r="N99" s="2"/>
      <c r="O99" s="2"/>
      <c r="P99" s="2">
        <f t="shared" si="14"/>
        <v>34.543311847130099</v>
      </c>
      <c r="Q99" s="2">
        <f t="shared" si="15"/>
        <v>34.543311847130099</v>
      </c>
      <c r="R99" s="2">
        <f t="shared" si="16"/>
        <v>1193.2403933680787</v>
      </c>
      <c r="S99" s="2"/>
    </row>
    <row r="100" spans="1:19" x14ac:dyDescent="0.25">
      <c r="A100" s="3">
        <v>43891</v>
      </c>
      <c r="B100" s="4">
        <v>10771.8</v>
      </c>
      <c r="C100" s="4">
        <f t="shared" si="9"/>
        <v>9649.8641666666699</v>
      </c>
      <c r="D100" s="4">
        <f t="shared" si="17"/>
        <v>10641.975</v>
      </c>
      <c r="E100" s="4">
        <f t="shared" si="10"/>
        <v>10674.7</v>
      </c>
      <c r="G100" s="4">
        <f t="shared" si="11"/>
        <v>10702.830342552548</v>
      </c>
      <c r="H100" s="4">
        <f t="shared" si="12"/>
        <v>35.248768918448242</v>
      </c>
      <c r="I100" s="4">
        <f t="shared" si="13"/>
        <v>10685.587928190684</v>
      </c>
      <c r="J100" s="4"/>
      <c r="K100" s="2"/>
      <c r="L100" s="2"/>
      <c r="M100" s="2"/>
      <c r="N100" s="2"/>
      <c r="O100" s="2"/>
      <c r="P100" s="2">
        <f t="shared" si="14"/>
        <v>19.674541933542059</v>
      </c>
      <c r="Q100" s="2">
        <f t="shared" si="15"/>
        <v>19.674541933542059</v>
      </c>
      <c r="R100" s="2">
        <f t="shared" si="16"/>
        <v>387.08760029470488</v>
      </c>
      <c r="S100" s="2"/>
    </row>
    <row r="101" spans="1:19" x14ac:dyDescent="0.25">
      <c r="A101" s="3">
        <v>43922</v>
      </c>
      <c r="B101" s="4">
        <v>10821.2</v>
      </c>
      <c r="C101" s="4">
        <f t="shared" si="9"/>
        <v>9649.8641666666699</v>
      </c>
      <c r="D101" s="4">
        <f t="shared" si="17"/>
        <v>10691.674999999999</v>
      </c>
      <c r="E101" s="4">
        <f t="shared" si="10"/>
        <v>10771.8</v>
      </c>
      <c r="G101" s="4">
        <f t="shared" si="11"/>
        <v>10754.703289176798</v>
      </c>
      <c r="H101" s="4">
        <f t="shared" si="12"/>
        <v>43.560857771348807</v>
      </c>
      <c r="I101" s="4">
        <f t="shared" si="13"/>
        <v>10738.079111470997</v>
      </c>
      <c r="J101" s="4"/>
      <c r="K101" s="2"/>
      <c r="L101" s="2"/>
      <c r="M101" s="2"/>
      <c r="N101" s="2"/>
      <c r="O101" s="2"/>
      <c r="P101" s="2">
        <f t="shared" si="14"/>
        <v>86.212071809315603</v>
      </c>
      <c r="Q101" s="2">
        <f t="shared" si="15"/>
        <v>86.212071809315603</v>
      </c>
      <c r="R101" s="2">
        <f t="shared" si="16"/>
        <v>7432.5213256545903</v>
      </c>
      <c r="S101" s="2"/>
    </row>
    <row r="102" spans="1:19" x14ac:dyDescent="0.25">
      <c r="A102" s="3">
        <v>43952</v>
      </c>
      <c r="B102" s="4">
        <v>10851.5</v>
      </c>
      <c r="C102" s="4">
        <f t="shared" si="9"/>
        <v>9649.8641666666699</v>
      </c>
      <c r="D102" s="4">
        <f t="shared" si="17"/>
        <v>10731.424999999999</v>
      </c>
      <c r="E102" s="4">
        <f t="shared" si="10"/>
        <v>10821.2</v>
      </c>
      <c r="G102" s="4">
        <f t="shared" si="11"/>
        <v>10808.911317558519</v>
      </c>
      <c r="H102" s="4">
        <f t="shared" si="12"/>
        <v>48.884443076535057</v>
      </c>
      <c r="I102" s="4">
        <f t="shared" si="13"/>
        <v>10798.264146948146</v>
      </c>
      <c r="J102" s="4"/>
      <c r="K102" s="2"/>
      <c r="L102" s="2"/>
      <c r="M102" s="2"/>
      <c r="N102" s="2"/>
      <c r="O102" s="2"/>
      <c r="P102" s="2">
        <f t="shared" si="14"/>
        <v>83.120888529003423</v>
      </c>
      <c r="Q102" s="2">
        <f t="shared" si="15"/>
        <v>83.120888529003423</v>
      </c>
      <c r="R102" s="2">
        <f t="shared" si="16"/>
        <v>6909.0821098510132</v>
      </c>
      <c r="S102" s="2"/>
    </row>
    <row r="103" spans="1:19" x14ac:dyDescent="0.25">
      <c r="A103" s="3">
        <v>43983</v>
      </c>
      <c r="B103" s="4">
        <v>10896.4</v>
      </c>
      <c r="C103" s="4">
        <f t="shared" si="9"/>
        <v>9649.8641666666699</v>
      </c>
      <c r="D103" s="4">
        <f t="shared" si="17"/>
        <v>10779.8</v>
      </c>
      <c r="E103" s="4">
        <f t="shared" si="10"/>
        <v>10851.5</v>
      </c>
      <c r="G103" s="4">
        <f t="shared" si="11"/>
        <v>10865.516608508044</v>
      </c>
      <c r="H103" s="4">
        <f t="shared" si="12"/>
        <v>52.744867013029889</v>
      </c>
      <c r="I103" s="4">
        <f t="shared" si="13"/>
        <v>10857.795760635054</v>
      </c>
      <c r="J103" s="4"/>
      <c r="K103" s="2"/>
      <c r="L103" s="2"/>
      <c r="M103" s="2"/>
      <c r="N103" s="2"/>
      <c r="O103" s="2"/>
      <c r="P103" s="2">
        <f t="shared" si="14"/>
        <v>53.235853051854065</v>
      </c>
      <c r="Q103" s="2">
        <f t="shared" si="15"/>
        <v>53.235853051854065</v>
      </c>
      <c r="R103" s="2">
        <f t="shared" si="16"/>
        <v>2834.0560501585996</v>
      </c>
      <c r="S103" s="2"/>
    </row>
    <row r="104" spans="1:19" x14ac:dyDescent="0.25">
      <c r="A104" s="3">
        <v>44013</v>
      </c>
      <c r="B104" s="4">
        <v>10926.6</v>
      </c>
      <c r="C104" s="4">
        <f t="shared" si="9"/>
        <v>9649.8641666666699</v>
      </c>
      <c r="D104" s="4">
        <f t="shared" si="17"/>
        <v>10835.225</v>
      </c>
      <c r="E104" s="4">
        <f t="shared" si="10"/>
        <v>10896.4</v>
      </c>
      <c r="G104" s="4">
        <f t="shared" si="11"/>
        <v>10919.929180416859</v>
      </c>
      <c r="H104" s="4">
        <f t="shared" si="12"/>
        <v>53.578719460922521</v>
      </c>
      <c r="I104" s="4">
        <f t="shared" si="13"/>
        <v>10918.261475521074</v>
      </c>
      <c r="J104" s="4"/>
      <c r="K104" s="2"/>
      <c r="L104" s="2"/>
      <c r="M104" s="2"/>
      <c r="N104" s="2"/>
      <c r="O104" s="2"/>
      <c r="P104" s="2">
        <f t="shared" si="14"/>
        <v>38.604239364945897</v>
      </c>
      <c r="Q104" s="2">
        <f t="shared" si="15"/>
        <v>38.604239364945897</v>
      </c>
      <c r="R104" s="2">
        <f t="shared" si="16"/>
        <v>1490.2872969460384</v>
      </c>
      <c r="S104" s="2"/>
    </row>
    <row r="105" spans="1:19" x14ac:dyDescent="0.25">
      <c r="A105" s="3">
        <v>44044</v>
      </c>
      <c r="B105" s="4">
        <v>10937.9</v>
      </c>
      <c r="C105" s="4">
        <f t="shared" si="9"/>
        <v>9649.8641666666699</v>
      </c>
      <c r="D105" s="4">
        <f t="shared" si="17"/>
        <v>10873.924999999999</v>
      </c>
      <c r="E105" s="4">
        <f t="shared" si="10"/>
        <v>10926.6</v>
      </c>
      <c r="G105" s="4">
        <f t="shared" si="11"/>
        <v>10966.386319902225</v>
      </c>
      <c r="H105" s="4">
        <f t="shared" si="12"/>
        <v>50.017929473144505</v>
      </c>
      <c r="I105" s="4">
        <f t="shared" si="13"/>
        <v>10973.507899877781</v>
      </c>
      <c r="J105" s="4"/>
      <c r="K105" s="2"/>
      <c r="L105" s="2"/>
      <c r="M105" s="2"/>
      <c r="N105" s="2"/>
      <c r="O105" s="2"/>
      <c r="P105" s="2">
        <f t="shared" si="14"/>
        <v>8.3385244789260469</v>
      </c>
      <c r="Q105" s="2">
        <f t="shared" si="15"/>
        <v>8.3385244789260469</v>
      </c>
      <c r="R105" s="2">
        <f t="shared" si="16"/>
        <v>69.5309904856489</v>
      </c>
      <c r="S105" s="2"/>
    </row>
    <row r="106" spans="1:19" x14ac:dyDescent="0.25">
      <c r="A106" s="3">
        <v>44075</v>
      </c>
      <c r="B106" s="4">
        <v>10976.2</v>
      </c>
      <c r="C106" s="4">
        <f t="shared" si="9"/>
        <v>9649.8641666666699</v>
      </c>
      <c r="D106" s="4">
        <f t="shared" si="17"/>
        <v>10903.1</v>
      </c>
      <c r="E106" s="4">
        <f t="shared" si="10"/>
        <v>10937.9</v>
      </c>
      <c r="G106" s="4">
        <f t="shared" si="11"/>
        <v>11008.363399500297</v>
      </c>
      <c r="H106" s="4">
        <f t="shared" si="12"/>
        <v>45.99750453560786</v>
      </c>
      <c r="I106" s="4">
        <f t="shared" si="13"/>
        <v>11016.40424937537</v>
      </c>
      <c r="J106" s="4"/>
      <c r="K106" s="2"/>
      <c r="L106" s="2"/>
      <c r="M106" s="2"/>
      <c r="N106" s="2"/>
      <c r="O106" s="2"/>
      <c r="P106" s="2">
        <f t="shared" si="14"/>
        <v>-35.607899877781165</v>
      </c>
      <c r="Q106" s="2">
        <f t="shared" si="15"/>
        <v>35.607899877781165</v>
      </c>
      <c r="R106" s="2">
        <f t="shared" si="16"/>
        <v>1267.922533706088</v>
      </c>
      <c r="S106" s="2"/>
    </row>
    <row r="107" spans="1:19" x14ac:dyDescent="0.25">
      <c r="A107" s="3">
        <v>44105</v>
      </c>
      <c r="B107" s="4">
        <v>10990</v>
      </c>
      <c r="C107" s="4">
        <f t="shared" si="9"/>
        <v>9649.8641666666699</v>
      </c>
      <c r="D107" s="4">
        <f t="shared" si="17"/>
        <v>10934.275000000001</v>
      </c>
      <c r="E107" s="4">
        <f t="shared" si="10"/>
        <v>10976.2</v>
      </c>
      <c r="G107" s="4">
        <f t="shared" si="11"/>
        <v>11041.488723228724</v>
      </c>
      <c r="H107" s="4">
        <f t="shared" si="12"/>
        <v>39.561414132017553</v>
      </c>
      <c r="I107" s="4">
        <f t="shared" si="13"/>
        <v>11054.360904035904</v>
      </c>
      <c r="J107" s="4"/>
      <c r="K107" s="2"/>
      <c r="L107" s="2"/>
      <c r="M107" s="2"/>
      <c r="N107" s="2"/>
      <c r="O107" s="2"/>
      <c r="P107" s="2">
        <f t="shared" si="14"/>
        <v>-40.204249375368818</v>
      </c>
      <c r="Q107" s="2">
        <f t="shared" si="15"/>
        <v>40.204249375368818</v>
      </c>
      <c r="R107" s="2">
        <f t="shared" si="16"/>
        <v>1616.3816678368439</v>
      </c>
      <c r="S107" s="2"/>
    </row>
    <row r="108" spans="1:19" x14ac:dyDescent="0.25">
      <c r="A108" s="3">
        <v>44136</v>
      </c>
      <c r="B108" s="4">
        <v>11019</v>
      </c>
      <c r="C108" s="4">
        <f t="shared" si="9"/>
        <v>9649.8641666666699</v>
      </c>
      <c r="D108" s="4">
        <f t="shared" si="17"/>
        <v>10957.674999999999</v>
      </c>
      <c r="E108" s="4">
        <f t="shared" si="10"/>
        <v>10990</v>
      </c>
      <c r="G108" s="4">
        <f t="shared" si="11"/>
        <v>11068.640109888594</v>
      </c>
      <c r="H108" s="4">
        <f t="shared" si="12"/>
        <v>33.356400395944121</v>
      </c>
      <c r="I108" s="4">
        <f t="shared" si="13"/>
        <v>11081.050137360742</v>
      </c>
      <c r="J108" s="4"/>
      <c r="K108" s="2"/>
      <c r="L108" s="2"/>
      <c r="M108" s="2"/>
      <c r="N108" s="2"/>
      <c r="O108" s="2"/>
      <c r="P108" s="2">
        <f t="shared" si="14"/>
        <v>-64.360904035904241</v>
      </c>
      <c r="Q108" s="2">
        <f t="shared" si="15"/>
        <v>64.360904035904241</v>
      </c>
      <c r="R108" s="2">
        <f t="shared" si="16"/>
        <v>4142.3259683188744</v>
      </c>
      <c r="S108" s="2"/>
    </row>
    <row r="109" spans="1:19" x14ac:dyDescent="0.25">
      <c r="A109" s="3">
        <v>44166</v>
      </c>
      <c r="B109" s="4">
        <v>11073.2</v>
      </c>
      <c r="C109" s="4">
        <f t="shared" si="9"/>
        <v>9649.8641666666699</v>
      </c>
      <c r="D109" s="4">
        <f t="shared" si="17"/>
        <v>10980.775</v>
      </c>
      <c r="E109" s="4">
        <f t="shared" si="10"/>
        <v>11019</v>
      </c>
      <c r="G109" s="4">
        <f t="shared" si="11"/>
        <v>11096.237208227631</v>
      </c>
      <c r="H109" s="4">
        <f t="shared" si="12"/>
        <v>30.476749367490143</v>
      </c>
      <c r="I109" s="4">
        <f t="shared" si="13"/>
        <v>11101.996510284538</v>
      </c>
      <c r="J109" s="4"/>
      <c r="K109" s="2"/>
      <c r="L109" s="2"/>
      <c r="M109" s="2"/>
      <c r="N109" s="2"/>
      <c r="O109" s="2"/>
      <c r="P109" s="2">
        <f t="shared" si="14"/>
        <v>-62.050137360742156</v>
      </c>
      <c r="Q109" s="2">
        <f t="shared" si="15"/>
        <v>62.050137360742156</v>
      </c>
      <c r="R109" s="2">
        <f t="shared" si="16"/>
        <v>3850.2195464869696</v>
      </c>
      <c r="S109" s="2"/>
    </row>
    <row r="110" spans="1:19" x14ac:dyDescent="0.25">
      <c r="A110" s="3">
        <v>44197</v>
      </c>
      <c r="B110" s="4">
        <v>11112.5</v>
      </c>
      <c r="C110" s="4">
        <f t="shared" si="9"/>
        <v>9649.8641666666699</v>
      </c>
      <c r="D110" s="4">
        <f t="shared" si="17"/>
        <v>11014.599999999999</v>
      </c>
      <c r="E110" s="4">
        <f t="shared" si="10"/>
        <v>11073.2</v>
      </c>
      <c r="G110" s="4">
        <f t="shared" si="11"/>
        <v>11123.871166076096</v>
      </c>
      <c r="H110" s="4">
        <f t="shared" si="12"/>
        <v>29.05535360797797</v>
      </c>
      <c r="I110" s="4">
        <f t="shared" si="13"/>
        <v>11126.713957595121</v>
      </c>
      <c r="J110" s="4"/>
      <c r="K110" s="2"/>
      <c r="L110" s="2"/>
      <c r="M110" s="2"/>
      <c r="N110" s="2"/>
      <c r="O110" s="2"/>
      <c r="P110" s="2">
        <f t="shared" si="14"/>
        <v>-28.796510284537362</v>
      </c>
      <c r="Q110" s="2">
        <f t="shared" si="15"/>
        <v>28.796510284537362</v>
      </c>
      <c r="R110" s="2">
        <f t="shared" si="16"/>
        <v>829.23900456746605</v>
      </c>
      <c r="S110" s="2"/>
    </row>
    <row r="111" spans="1:19" x14ac:dyDescent="0.25">
      <c r="A111" s="3">
        <v>44228</v>
      </c>
      <c r="B111" s="4">
        <v>11197.5</v>
      </c>
      <c r="C111" s="4">
        <f t="shared" si="9"/>
        <v>9649.8641666666699</v>
      </c>
      <c r="D111" s="4">
        <f t="shared" si="17"/>
        <v>11048.674999999999</v>
      </c>
      <c r="E111" s="4">
        <f t="shared" si="10"/>
        <v>11112.5</v>
      </c>
      <c r="G111" s="4">
        <f t="shared" si="11"/>
        <v>11161.841215747261</v>
      </c>
      <c r="H111" s="4">
        <f t="shared" si="12"/>
        <v>33.512701639571389</v>
      </c>
      <c r="I111" s="4">
        <f t="shared" si="13"/>
        <v>11152.926519684075</v>
      </c>
      <c r="J111" s="4"/>
      <c r="K111" s="2"/>
      <c r="L111" s="2"/>
      <c r="M111" s="2"/>
      <c r="N111" s="2"/>
      <c r="O111" s="2"/>
      <c r="P111" s="2">
        <f t="shared" si="14"/>
        <v>-14.213957595120519</v>
      </c>
      <c r="Q111" s="2">
        <f t="shared" si="15"/>
        <v>14.213957595120519</v>
      </c>
      <c r="R111" s="2">
        <f t="shared" si="16"/>
        <v>202.03659051588428</v>
      </c>
      <c r="S111" s="2"/>
    </row>
    <row r="112" spans="1:19" x14ac:dyDescent="0.25">
      <c r="A112" s="3">
        <v>44256</v>
      </c>
      <c r="B112" s="4">
        <v>11257.5</v>
      </c>
      <c r="C112" s="4">
        <f t="shared" si="9"/>
        <v>9649.8641666666699</v>
      </c>
      <c r="D112" s="4">
        <f t="shared" si="17"/>
        <v>11100.55</v>
      </c>
      <c r="E112" s="4">
        <f t="shared" si="10"/>
        <v>11197.5</v>
      </c>
      <c r="G112" s="4">
        <f t="shared" si="11"/>
        <v>11207.783133909466</v>
      </c>
      <c r="H112" s="4">
        <f t="shared" si="12"/>
        <v>39.727309900888287</v>
      </c>
      <c r="I112" s="4">
        <f t="shared" si="13"/>
        <v>11195.353917386832</v>
      </c>
      <c r="J112" s="4"/>
      <c r="K112" s="2"/>
      <c r="L112" s="2"/>
      <c r="M112" s="2"/>
      <c r="N112" s="2"/>
      <c r="O112" s="2"/>
      <c r="P112" s="2">
        <f t="shared" si="14"/>
        <v>44.573480315924826</v>
      </c>
      <c r="Q112" s="2">
        <f t="shared" si="15"/>
        <v>44.573480315924826</v>
      </c>
      <c r="R112" s="2">
        <f t="shared" si="16"/>
        <v>1986.7951474741378</v>
      </c>
      <c r="S112" s="2"/>
    </row>
    <row r="113" spans="1:19" x14ac:dyDescent="0.25">
      <c r="A113" s="3">
        <v>44287</v>
      </c>
      <c r="B113" s="4">
        <v>11252.6</v>
      </c>
      <c r="C113" s="4">
        <f t="shared" si="9"/>
        <v>9649.8641666666699</v>
      </c>
      <c r="D113" s="4">
        <f t="shared" si="17"/>
        <v>11160.174999999999</v>
      </c>
      <c r="E113" s="4">
        <f t="shared" si="10"/>
        <v>11257.5</v>
      </c>
      <c r="G113" s="4">
        <f t="shared" si="11"/>
        <v>11248.528355048285</v>
      </c>
      <c r="H113" s="4">
        <f t="shared" si="12"/>
        <v>40.23626551985366</v>
      </c>
      <c r="I113" s="4">
        <f t="shared" si="13"/>
        <v>11247.510443810355</v>
      </c>
      <c r="J113" s="4"/>
      <c r="K113" s="2"/>
      <c r="L113" s="2"/>
      <c r="M113" s="2"/>
      <c r="N113" s="2"/>
      <c r="O113" s="2"/>
      <c r="P113" s="2">
        <f t="shared" si="14"/>
        <v>62.146082613167891</v>
      </c>
      <c r="Q113" s="2">
        <f t="shared" si="15"/>
        <v>62.146082613167891</v>
      </c>
      <c r="R113" s="2">
        <f t="shared" si="16"/>
        <v>3862.1355841626887</v>
      </c>
      <c r="S113" s="2"/>
    </row>
    <row r="114" spans="1:19" x14ac:dyDescent="0.25">
      <c r="A114" s="3">
        <v>44317</v>
      </c>
      <c r="B114" s="4">
        <v>11230.1</v>
      </c>
      <c r="C114" s="4">
        <f t="shared" si="9"/>
        <v>9649.8641666666699</v>
      </c>
      <c r="D114" s="4">
        <f t="shared" si="17"/>
        <v>11205.025</v>
      </c>
      <c r="E114" s="4">
        <f t="shared" si="10"/>
        <v>11252.6</v>
      </c>
      <c r="G114" s="4">
        <f t="shared" si="11"/>
        <v>11277.031696454513</v>
      </c>
      <c r="H114" s="4">
        <f t="shared" si="12"/>
        <v>34.369803463040462</v>
      </c>
      <c r="I114" s="4">
        <f t="shared" si="13"/>
        <v>11288.764620568139</v>
      </c>
      <c r="J114" s="4"/>
      <c r="K114" s="2"/>
      <c r="L114" s="2"/>
      <c r="M114" s="2"/>
      <c r="N114" s="2"/>
      <c r="O114" s="2"/>
      <c r="P114" s="2">
        <f t="shared" si="14"/>
        <v>5.089556189645009</v>
      </c>
      <c r="Q114" s="2">
        <f t="shared" si="15"/>
        <v>5.089556189645009</v>
      </c>
      <c r="R114" s="2">
        <f t="shared" si="16"/>
        <v>25.903582207553821</v>
      </c>
      <c r="S114" s="2"/>
    </row>
    <row r="115" spans="1:19" x14ac:dyDescent="0.25">
      <c r="A115" s="3">
        <v>44348</v>
      </c>
      <c r="B115" s="4">
        <v>11224.3</v>
      </c>
      <c r="C115" s="4">
        <f t="shared" si="9"/>
        <v>9649.8641666666699</v>
      </c>
      <c r="D115" s="4">
        <f t="shared" si="17"/>
        <v>11234.424999999999</v>
      </c>
      <c r="E115" s="4">
        <f t="shared" si="10"/>
        <v>11230.1</v>
      </c>
      <c r="G115" s="4">
        <f t="shared" si="11"/>
        <v>11293.981199934044</v>
      </c>
      <c r="H115" s="4">
        <f t="shared" si="12"/>
        <v>25.659653471285683</v>
      </c>
      <c r="I115" s="4">
        <f t="shared" si="13"/>
        <v>11311.401499917552</v>
      </c>
      <c r="J115" s="4"/>
      <c r="K115" s="2"/>
      <c r="L115" s="2"/>
      <c r="M115" s="2"/>
      <c r="N115" s="2"/>
      <c r="O115" s="2"/>
      <c r="P115" s="2">
        <f t="shared" si="14"/>
        <v>-58.664620568139071</v>
      </c>
      <c r="Q115" s="2">
        <f t="shared" si="15"/>
        <v>58.664620568139071</v>
      </c>
      <c r="R115" s="2">
        <f t="shared" si="16"/>
        <v>3441.5377064037257</v>
      </c>
      <c r="S115" s="2"/>
    </row>
    <row r="116" spans="1:19" x14ac:dyDescent="0.25">
      <c r="A116" s="3">
        <v>44378</v>
      </c>
      <c r="B116" s="4">
        <v>11269.3</v>
      </c>
      <c r="C116" s="4">
        <f t="shared" si="9"/>
        <v>9649.8641666666699</v>
      </c>
      <c r="D116" s="4">
        <f t="shared" si="17"/>
        <v>11241.125</v>
      </c>
      <c r="E116" s="4">
        <f t="shared" si="10"/>
        <v>11224.3</v>
      </c>
      <c r="G116" s="4">
        <f t="shared" si="11"/>
        <v>11309.572682724265</v>
      </c>
      <c r="H116" s="4">
        <f t="shared" si="12"/>
        <v>20.625568130753621</v>
      </c>
      <c r="I116" s="4">
        <f t="shared" si="13"/>
        <v>11319.64085340533</v>
      </c>
      <c r="J116" s="4"/>
      <c r="K116" s="2"/>
      <c r="L116" s="2"/>
      <c r="M116" s="2"/>
      <c r="N116" s="2"/>
      <c r="O116" s="2"/>
      <c r="P116" s="2">
        <f t="shared" si="14"/>
        <v>-87.101499917553156</v>
      </c>
      <c r="Q116" s="2">
        <f t="shared" si="15"/>
        <v>87.101499917553156</v>
      </c>
      <c r="R116" s="2">
        <f t="shared" si="16"/>
        <v>7586.6712878875123</v>
      </c>
      <c r="S116" s="2"/>
    </row>
    <row r="117" spans="1:19" x14ac:dyDescent="0.25">
      <c r="A117" s="3">
        <v>44409</v>
      </c>
      <c r="B117" s="4">
        <v>11305.5</v>
      </c>
      <c r="C117" s="4">
        <f t="shared" si="9"/>
        <v>9649.8641666666699</v>
      </c>
      <c r="D117" s="4">
        <f t="shared" si="17"/>
        <v>11244.075000000001</v>
      </c>
      <c r="E117" s="4">
        <f t="shared" si="10"/>
        <v>11269.3</v>
      </c>
      <c r="G117" s="4">
        <f t="shared" si="11"/>
        <v>11325.258600684016</v>
      </c>
      <c r="H117" s="4">
        <f t="shared" si="12"/>
        <v>18.155743045252031</v>
      </c>
      <c r="I117" s="4">
        <f t="shared" si="13"/>
        <v>11330.198250855019</v>
      </c>
      <c r="J117" s="4"/>
      <c r="K117" s="2"/>
      <c r="L117" s="2"/>
      <c r="M117" s="2"/>
      <c r="N117" s="2"/>
      <c r="O117" s="2"/>
      <c r="P117" s="2">
        <f t="shared" si="14"/>
        <v>-50.340853405330563</v>
      </c>
      <c r="Q117" s="2">
        <f t="shared" si="15"/>
        <v>50.340853405330563</v>
      </c>
      <c r="R117" s="2">
        <f t="shared" si="16"/>
        <v>2534.2015215769816</v>
      </c>
      <c r="S117" s="2"/>
    </row>
    <row r="118" spans="1:19" x14ac:dyDescent="0.25">
      <c r="A118" s="3">
        <v>44440</v>
      </c>
      <c r="B118" s="4">
        <v>11331.9</v>
      </c>
      <c r="C118" s="4">
        <f t="shared" si="9"/>
        <v>9649.8641666666699</v>
      </c>
      <c r="D118" s="4">
        <f t="shared" si="17"/>
        <v>11257.3</v>
      </c>
      <c r="E118" s="4">
        <f t="shared" si="10"/>
        <v>11305.5</v>
      </c>
      <c r="G118" s="4">
        <f t="shared" si="11"/>
        <v>11341.111474983416</v>
      </c>
      <c r="H118" s="4">
        <f t="shared" si="12"/>
        <v>17.004308672326193</v>
      </c>
      <c r="I118" s="4">
        <f t="shared" si="13"/>
        <v>11343.414343729268</v>
      </c>
      <c r="J118" s="4"/>
      <c r="K118" s="2"/>
      <c r="L118" s="2"/>
      <c r="M118" s="2"/>
      <c r="N118" s="2"/>
      <c r="O118" s="2"/>
      <c r="P118" s="2">
        <f t="shared" si="14"/>
        <v>-24.698250855019069</v>
      </c>
      <c r="Q118" s="2">
        <f t="shared" si="15"/>
        <v>24.698250855019069</v>
      </c>
      <c r="R118" s="2">
        <f t="shared" si="16"/>
        <v>610.00359529745015</v>
      </c>
      <c r="S118" s="2"/>
    </row>
    <row r="119" spans="1:19" x14ac:dyDescent="0.25">
      <c r="A119" s="3">
        <v>44470</v>
      </c>
      <c r="B119" s="4">
        <v>11348.6</v>
      </c>
      <c r="C119" s="4">
        <f t="shared" si="9"/>
        <v>9649.8641666666699</v>
      </c>
      <c r="D119" s="4">
        <f t="shared" si="17"/>
        <v>11282.75</v>
      </c>
      <c r="E119" s="4">
        <f t="shared" si="10"/>
        <v>11331.9</v>
      </c>
      <c r="G119" s="4">
        <f t="shared" si="11"/>
        <v>11356.212626924593</v>
      </c>
      <c r="H119" s="4">
        <f t="shared" si="12"/>
        <v>16.052730306751492</v>
      </c>
      <c r="I119" s="4">
        <f t="shared" si="13"/>
        <v>11358.115783655741</v>
      </c>
      <c r="J119" s="4"/>
      <c r="K119" s="2"/>
      <c r="L119" s="2"/>
      <c r="M119" s="2"/>
      <c r="N119" s="2"/>
      <c r="O119" s="2"/>
      <c r="P119" s="2">
        <f t="shared" si="14"/>
        <v>-11.514343729268148</v>
      </c>
      <c r="Q119" s="2">
        <f t="shared" si="15"/>
        <v>11.514343729268148</v>
      </c>
      <c r="R119" s="2">
        <f t="shared" si="16"/>
        <v>132.58011151573672</v>
      </c>
      <c r="S119" s="2"/>
    </row>
    <row r="120" spans="1:19" x14ac:dyDescent="0.25">
      <c r="A120" s="3">
        <v>44501</v>
      </c>
      <c r="B120" s="4">
        <v>11418.2</v>
      </c>
      <c r="C120" s="4">
        <f t="shared" si="9"/>
        <v>9649.8641666666699</v>
      </c>
      <c r="D120" s="4">
        <f t="shared" si="17"/>
        <v>11313.824999999999</v>
      </c>
      <c r="E120" s="4">
        <f t="shared" si="10"/>
        <v>11348.6</v>
      </c>
      <c r="G120" s="4">
        <f t="shared" si="11"/>
        <v>11381.452285785075</v>
      </c>
      <c r="H120" s="4">
        <f t="shared" si="12"/>
        <v>20.646194583616971</v>
      </c>
      <c r="I120" s="4">
        <f t="shared" si="13"/>
        <v>11372.265357231345</v>
      </c>
      <c r="J120" s="4"/>
      <c r="K120" s="2"/>
      <c r="L120" s="2"/>
      <c r="M120" s="2"/>
      <c r="N120" s="2"/>
      <c r="O120" s="2"/>
      <c r="P120" s="2">
        <f t="shared" si="14"/>
        <v>-9.515783655740961</v>
      </c>
      <c r="Q120" s="2">
        <f t="shared" si="15"/>
        <v>9.515783655740961</v>
      </c>
      <c r="R120" s="2">
        <f t="shared" si="16"/>
        <v>90.550138582866808</v>
      </c>
      <c r="S120" s="2"/>
    </row>
    <row r="121" spans="1:19" x14ac:dyDescent="0.25">
      <c r="A121" s="3">
        <v>44531</v>
      </c>
      <c r="B121" s="4">
        <v>11377.4</v>
      </c>
      <c r="C121" s="4">
        <f t="shared" si="9"/>
        <v>9649.8641666666699</v>
      </c>
      <c r="D121" s="4">
        <f t="shared" si="17"/>
        <v>11351.05</v>
      </c>
      <c r="E121" s="4">
        <f t="shared" si="10"/>
        <v>11418.2</v>
      </c>
      <c r="G121" s="4">
        <f t="shared" si="11"/>
        <v>11397.158784294954</v>
      </c>
      <c r="H121" s="4">
        <f t="shared" si="12"/>
        <v>18.176346546747816</v>
      </c>
      <c r="I121" s="4">
        <f t="shared" si="13"/>
        <v>11402.098480368692</v>
      </c>
      <c r="J121" s="4"/>
      <c r="K121" s="2"/>
      <c r="L121" s="2"/>
      <c r="M121" s="2"/>
      <c r="N121" s="2"/>
      <c r="O121" s="2"/>
      <c r="P121" s="2">
        <f t="shared" si="14"/>
        <v>45.934642768655976</v>
      </c>
      <c r="Q121" s="2">
        <f t="shared" si="15"/>
        <v>45.934642768655976</v>
      </c>
      <c r="R121" s="2">
        <f t="shared" si="16"/>
        <v>2109.9914062840389</v>
      </c>
      <c r="S121" s="2"/>
    </row>
    <row r="122" spans="1:19" ht="11.25" x14ac:dyDescent="0.2">
      <c r="A122" s="3">
        <v>44562</v>
      </c>
      <c r="B122" s="4"/>
      <c r="C122" s="4">
        <f>AVERAGE($B$2:$B$121)</f>
        <v>9649.8641666666699</v>
      </c>
      <c r="D122" s="4">
        <f>AVERAGE(B118:B121)</f>
        <v>11369.025</v>
      </c>
      <c r="E122" s="4">
        <f t="shared" si="10"/>
        <v>11377.4</v>
      </c>
      <c r="F122" s="10"/>
      <c r="G122" s="4"/>
      <c r="H122" s="4"/>
      <c r="I122" s="4">
        <f t="shared" si="13"/>
        <v>11415.335130841702</v>
      </c>
      <c r="J122" s="4"/>
      <c r="K122" s="2"/>
      <c r="L122" s="2"/>
      <c r="M122" s="2"/>
      <c r="N122" s="2"/>
      <c r="O122" s="2"/>
      <c r="P122" s="2">
        <f t="shared" ref="P122" si="18">B121-I121</f>
        <v>-24.698480368691889</v>
      </c>
      <c r="Q122" s="2">
        <f t="shared" si="15"/>
        <v>24.698480368691889</v>
      </c>
      <c r="R122" s="2">
        <f t="shared" ref="R122" si="19">P122*P122</f>
        <v>610.01493252265868</v>
      </c>
      <c r="S122" s="2"/>
    </row>
    <row r="123" spans="1:19" ht="11.25" x14ac:dyDescent="0.2">
      <c r="A123" s="3">
        <v>44593</v>
      </c>
      <c r="B123" s="4"/>
      <c r="C123" s="4"/>
      <c r="D123" s="4"/>
      <c r="E123" s="35"/>
      <c r="F123" s="10"/>
      <c r="G123" s="4"/>
      <c r="H123" s="4"/>
      <c r="I123" s="4"/>
      <c r="J123" s="4"/>
      <c r="K123" s="2"/>
      <c r="L123" s="2"/>
      <c r="M123" s="2"/>
      <c r="N123" s="2"/>
      <c r="O123" s="2"/>
      <c r="P123" s="2"/>
      <c r="Q123" s="2" t="s">
        <v>4</v>
      </c>
      <c r="R123" s="2" t="s">
        <v>5</v>
      </c>
      <c r="S123" s="2"/>
    </row>
    <row r="124" spans="1:19" ht="11.25" x14ac:dyDescent="0.2">
      <c r="A124" s="3">
        <v>44621</v>
      </c>
      <c r="B124" s="2"/>
      <c r="C124" s="2"/>
      <c r="D124" s="2"/>
      <c r="E124" s="35"/>
      <c r="F124" s="10"/>
      <c r="G124" s="4"/>
      <c r="H124" s="2"/>
      <c r="I124" s="15"/>
      <c r="J124" s="15"/>
      <c r="K124" s="2"/>
      <c r="L124" s="2"/>
      <c r="M124" s="2"/>
      <c r="N124" s="2"/>
      <c r="O124" s="2"/>
      <c r="P124" s="2"/>
      <c r="Q124" s="2">
        <f>AVERAGE(Q5:Q122)</f>
        <v>54.604593187058228</v>
      </c>
      <c r="R124" s="2">
        <f>AVERAGE(R5:R122)</f>
        <v>6502.992671314465</v>
      </c>
      <c r="S124" s="2"/>
    </row>
    <row r="125" spans="1:19" ht="11.25" x14ac:dyDescent="0.2">
      <c r="A125" s="3">
        <v>44652</v>
      </c>
      <c r="B125" s="2"/>
      <c r="C125" s="2"/>
      <c r="D125" s="2"/>
      <c r="E125" s="35"/>
      <c r="F125" s="10"/>
      <c r="G125" s="4"/>
      <c r="H125" s="2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1.25" x14ac:dyDescent="0.2">
      <c r="A126" s="3">
        <v>44682</v>
      </c>
      <c r="B126" s="2"/>
      <c r="C126" s="2"/>
      <c r="D126" s="2"/>
      <c r="E126" s="35"/>
      <c r="F126" s="10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1.25" x14ac:dyDescent="0.2">
      <c r="A127" s="3">
        <v>44713</v>
      </c>
      <c r="B127" s="2"/>
      <c r="C127" s="2"/>
      <c r="D127" s="2"/>
      <c r="E127" s="35"/>
      <c r="F127" s="10"/>
      <c r="G127" s="4"/>
      <c r="H127" s="2"/>
      <c r="I127" s="2"/>
      <c r="J127" s="15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1.25" x14ac:dyDescent="0.2">
      <c r="A128" s="3">
        <v>44743</v>
      </c>
      <c r="B128" s="2"/>
      <c r="C128" s="2"/>
      <c r="D128" s="2"/>
      <c r="E128" s="35"/>
      <c r="F128" s="10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1.25" x14ac:dyDescent="0.2">
      <c r="A129" s="3">
        <v>44774</v>
      </c>
      <c r="B129" s="2"/>
      <c r="C129" s="2"/>
      <c r="D129" s="2"/>
      <c r="E129" s="35"/>
      <c r="F129" s="10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1.25" x14ac:dyDescent="0.2">
      <c r="A130" s="3">
        <v>44805</v>
      </c>
      <c r="B130" s="2"/>
      <c r="C130" s="2"/>
      <c r="D130" s="2"/>
      <c r="E130" s="35"/>
      <c r="F130" s="10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1.25" x14ac:dyDescent="0.2">
      <c r="A131" s="3">
        <v>44835</v>
      </c>
      <c r="B131" s="2"/>
      <c r="C131" s="2"/>
      <c r="D131" s="2"/>
      <c r="E131" s="35"/>
      <c r="F131" s="10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1.25" x14ac:dyDescent="0.2">
      <c r="A132" s="3">
        <v>44866</v>
      </c>
      <c r="B132" s="2"/>
      <c r="C132" s="2"/>
      <c r="D132" s="2"/>
      <c r="E132" s="35"/>
      <c r="F132" s="10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1.25" x14ac:dyDescent="0.2">
      <c r="A133" s="3">
        <v>44896</v>
      </c>
      <c r="B133" s="2"/>
      <c r="C133" s="2"/>
      <c r="D133" s="2"/>
      <c r="E133" s="35"/>
      <c r="F133" s="10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s="3"/>
      <c r="B134" s="2"/>
      <c r="C134" s="2"/>
      <c r="D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3"/>
      <c r="B135" s="2"/>
      <c r="C135" s="2"/>
      <c r="D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3"/>
      <c r="B136" s="2"/>
      <c r="C136" s="2"/>
      <c r="D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3"/>
      <c r="B137" s="2"/>
      <c r="C137" s="2"/>
      <c r="D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s="3"/>
      <c r="B138" s="2"/>
      <c r="C138" s="2"/>
      <c r="D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3"/>
      <c r="B139" s="2"/>
      <c r="C139" s="2"/>
      <c r="D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s="3"/>
      <c r="B140" s="2"/>
      <c r="C140" s="2"/>
      <c r="D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3"/>
      <c r="B141" s="2"/>
      <c r="C141" s="2"/>
      <c r="D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3"/>
      <c r="B142" s="2"/>
      <c r="C142" s="2"/>
      <c r="D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3"/>
      <c r="B143" s="2"/>
      <c r="C143" s="2"/>
      <c r="D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s="3"/>
      <c r="B144" s="2"/>
      <c r="C144" s="2"/>
      <c r="D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3"/>
      <c r="B145" s="2"/>
      <c r="C145" s="2"/>
      <c r="D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s="3"/>
      <c r="B146" s="2"/>
      <c r="C146" s="2"/>
      <c r="D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3"/>
      <c r="B147" s="2"/>
      <c r="C147" s="2"/>
      <c r="D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s="3"/>
      <c r="B148" s="2"/>
      <c r="C148" s="2"/>
      <c r="D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s="3"/>
      <c r="B149" s="2"/>
      <c r="C149" s="2"/>
      <c r="D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s="3"/>
      <c r="B150" s="2"/>
      <c r="C150" s="2"/>
      <c r="D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s="3"/>
      <c r="B151" s="2"/>
      <c r="C151" s="2"/>
      <c r="D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3"/>
      <c r="B152" s="2"/>
      <c r="C152" s="2"/>
      <c r="D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3"/>
      <c r="B153" s="2"/>
      <c r="C153" s="2"/>
      <c r="D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3"/>
      <c r="B154" s="2"/>
      <c r="C154" s="2"/>
      <c r="D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3"/>
      <c r="B155" s="2"/>
      <c r="C155" s="2"/>
      <c r="D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3"/>
      <c r="B156" s="2"/>
      <c r="C156" s="2"/>
      <c r="D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3"/>
      <c r="B157" s="2"/>
      <c r="C157" s="2"/>
      <c r="D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3"/>
      <c r="B158" s="2"/>
      <c r="C158" s="2"/>
      <c r="D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3"/>
      <c r="B159" s="2"/>
      <c r="C159" s="2"/>
      <c r="D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3"/>
      <c r="B160" s="2"/>
      <c r="C160" s="2"/>
      <c r="D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3"/>
      <c r="B161" s="2"/>
      <c r="C161" s="2"/>
      <c r="D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3"/>
      <c r="B162" s="2"/>
      <c r="C162" s="2"/>
      <c r="D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3"/>
      <c r="B163" s="2"/>
      <c r="C163" s="2"/>
      <c r="D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3"/>
      <c r="B164" s="2"/>
      <c r="C164" s="2"/>
      <c r="D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3"/>
      <c r="B165" s="2"/>
      <c r="C165" s="2"/>
      <c r="D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3"/>
      <c r="B166" s="2"/>
      <c r="C166" s="2"/>
      <c r="D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3"/>
      <c r="B167" s="2"/>
      <c r="C167" s="2"/>
      <c r="D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3"/>
      <c r="B168" s="2"/>
      <c r="C168" s="2"/>
      <c r="D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3"/>
      <c r="B169" s="2"/>
      <c r="C169" s="2"/>
      <c r="D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3"/>
      <c r="B170" s="2"/>
      <c r="C170" s="2"/>
      <c r="D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3"/>
      <c r="B171" s="2"/>
      <c r="C171" s="2"/>
      <c r="D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3"/>
      <c r="B172" s="2"/>
      <c r="C172" s="2"/>
      <c r="D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3"/>
      <c r="B173" s="2"/>
      <c r="C173" s="2"/>
      <c r="D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3"/>
      <c r="B174" s="2"/>
      <c r="C174" s="2"/>
      <c r="D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3"/>
      <c r="B175" s="2"/>
      <c r="C175" s="2"/>
      <c r="D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3"/>
      <c r="B176" s="2"/>
      <c r="C176" s="2"/>
      <c r="D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3"/>
      <c r="B177" s="2"/>
      <c r="C177" s="2"/>
      <c r="D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3"/>
      <c r="B178" s="2"/>
      <c r="C178" s="2"/>
      <c r="D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s="3"/>
      <c r="B179" s="2"/>
      <c r="C179" s="2"/>
      <c r="D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3"/>
      <c r="B180" s="2"/>
      <c r="C180" s="2"/>
      <c r="D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s="3"/>
      <c r="B181" s="2"/>
      <c r="C181" s="2"/>
      <c r="D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5">
      <c r="A182" s="3"/>
      <c r="B182" s="2"/>
      <c r="C182" s="2"/>
      <c r="D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3"/>
      <c r="B183" s="2"/>
      <c r="C183" s="2"/>
      <c r="D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s="3"/>
      <c r="B184" s="2"/>
      <c r="C184" s="2"/>
      <c r="D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s="3"/>
      <c r="B185" s="2"/>
      <c r="C185" s="2"/>
      <c r="D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3"/>
      <c r="B186" s="2"/>
      <c r="C186" s="2"/>
      <c r="D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s="3"/>
      <c r="B187" s="2"/>
      <c r="C187" s="2"/>
      <c r="D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3"/>
      <c r="B188" s="2"/>
      <c r="C188" s="2"/>
      <c r="D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3"/>
      <c r="B189" s="2"/>
      <c r="C189" s="2"/>
      <c r="D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s="3"/>
      <c r="B190" s="2"/>
      <c r="C190" s="2"/>
      <c r="D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s="3"/>
      <c r="B191" s="2"/>
      <c r="C191" s="2"/>
      <c r="D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5">
      <c r="A192" s="3"/>
      <c r="B192" s="2"/>
      <c r="C192" s="2"/>
      <c r="D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s="3"/>
      <c r="B193" s="2"/>
      <c r="C193" s="2"/>
      <c r="D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s="3"/>
      <c r="B194" s="2"/>
      <c r="C194" s="2"/>
      <c r="D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3"/>
      <c r="B195" s="2"/>
      <c r="C195" s="2"/>
      <c r="D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3"/>
      <c r="B196" s="2"/>
      <c r="C196" s="2"/>
      <c r="D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3"/>
      <c r="B197" s="2"/>
      <c r="C197" s="2"/>
      <c r="D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s="3"/>
      <c r="B198" s="2"/>
      <c r="C198" s="2"/>
      <c r="D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s="3"/>
      <c r="B199" s="2"/>
      <c r="C199" s="2"/>
      <c r="D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s="3"/>
      <c r="B200" s="2"/>
      <c r="C200" s="2"/>
      <c r="D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5">
      <c r="A201" s="3"/>
      <c r="B201" s="2"/>
      <c r="C201" s="2"/>
      <c r="D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5">
      <c r="A202" s="3"/>
      <c r="B202" s="2"/>
      <c r="C202" s="2"/>
      <c r="D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s="3"/>
      <c r="B203" s="2"/>
      <c r="C203" s="2"/>
      <c r="D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5">
      <c r="A204" s="3"/>
      <c r="B204" s="2"/>
      <c r="C204" s="2"/>
      <c r="D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s="3"/>
      <c r="B205" s="2"/>
      <c r="C205" s="2"/>
      <c r="D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5">
      <c r="A206" s="3"/>
      <c r="B206" s="2"/>
      <c r="C206" s="2"/>
      <c r="D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5">
      <c r="A207" s="3"/>
      <c r="B207" s="2"/>
      <c r="C207" s="2"/>
      <c r="D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5">
      <c r="A208" s="3"/>
      <c r="B208" s="2"/>
      <c r="C208" s="2"/>
      <c r="D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s="3"/>
      <c r="B209" s="2"/>
      <c r="C209" s="2"/>
      <c r="D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5">
      <c r="A210" s="3"/>
      <c r="B210" s="2"/>
      <c r="C210" s="2"/>
      <c r="D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5">
      <c r="A211" s="3"/>
      <c r="B211" s="2"/>
      <c r="C211" s="2"/>
      <c r="D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5">
      <c r="A212" s="3"/>
      <c r="B212" s="2"/>
      <c r="C212" s="2"/>
      <c r="D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5">
      <c r="A213" s="3"/>
      <c r="B213" s="2"/>
      <c r="C213" s="2"/>
      <c r="D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5">
      <c r="A214" s="3"/>
      <c r="B214" s="2"/>
      <c r="C214" s="2"/>
      <c r="D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5">
      <c r="A215" s="3"/>
      <c r="B215" s="2"/>
      <c r="C215" s="2"/>
      <c r="D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5">
      <c r="A216" s="3"/>
      <c r="B216" s="2"/>
      <c r="C216" s="2"/>
      <c r="D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5">
      <c r="A217" s="3"/>
      <c r="B217" s="2"/>
      <c r="C217" s="2"/>
      <c r="D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5">
      <c r="A218" s="3"/>
      <c r="B218" s="2"/>
      <c r="C218" s="2"/>
      <c r="D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s="3"/>
      <c r="B219" s="2"/>
      <c r="C219" s="2"/>
      <c r="D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5">
      <c r="A220" s="3"/>
      <c r="B220" s="2"/>
      <c r="C220" s="2"/>
      <c r="D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5">
      <c r="A221" s="3"/>
      <c r="B221" s="2"/>
      <c r="C221" s="2"/>
      <c r="D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5">
      <c r="A222" s="3"/>
      <c r="B222" s="2"/>
      <c r="C222" s="2"/>
      <c r="D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s="3"/>
      <c r="B223" s="2"/>
      <c r="C223" s="2"/>
      <c r="D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5">
      <c r="A224" s="3"/>
      <c r="B224" s="2"/>
      <c r="C224" s="2"/>
      <c r="D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5">
      <c r="A225" s="3"/>
      <c r="B225" s="2"/>
      <c r="C225" s="2"/>
      <c r="D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s="3"/>
      <c r="B226" s="2"/>
      <c r="C226" s="2"/>
      <c r="D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5">
      <c r="A227" s="3"/>
      <c r="B227" s="2"/>
      <c r="C227" s="2"/>
      <c r="D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5">
      <c r="A228" s="3"/>
      <c r="B228" s="2"/>
      <c r="C228" s="2"/>
      <c r="D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5">
      <c r="A229" s="3"/>
      <c r="B229" s="2"/>
      <c r="C229" s="2"/>
      <c r="D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5">
      <c r="A230" s="3"/>
      <c r="B230" s="2"/>
      <c r="C230" s="2"/>
      <c r="D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5">
      <c r="A231" s="3"/>
      <c r="B231" s="2"/>
      <c r="C231" s="2"/>
      <c r="D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5">
      <c r="A232" s="3"/>
      <c r="B232" s="2"/>
      <c r="C232" s="2"/>
      <c r="D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s="3"/>
      <c r="B233" s="2"/>
      <c r="C233" s="2"/>
      <c r="D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5">
      <c r="A234" s="3"/>
      <c r="B234" s="2"/>
      <c r="C234" s="2"/>
      <c r="D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5">
      <c r="A235" s="3"/>
      <c r="B235" s="2"/>
      <c r="C235" s="2"/>
      <c r="D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s="3"/>
      <c r="B236" s="2"/>
      <c r="C236" s="2"/>
      <c r="D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s="3"/>
      <c r="B237" s="2"/>
      <c r="C237" s="2"/>
      <c r="D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5">
      <c r="A238" s="3"/>
      <c r="B238" s="2"/>
      <c r="C238" s="2"/>
      <c r="D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5">
      <c r="A239" s="3"/>
      <c r="B239" s="2"/>
      <c r="C239" s="2"/>
      <c r="D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5">
      <c r="A240" s="3"/>
      <c r="B240" s="2"/>
      <c r="C240" s="2"/>
      <c r="D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s="3"/>
      <c r="B241" s="2"/>
      <c r="C241" s="2"/>
      <c r="D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5">
      <c r="A242" s="3"/>
      <c r="B242" s="2"/>
      <c r="C242" s="2"/>
      <c r="D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5">
      <c r="A243" s="3"/>
      <c r="B243" s="2"/>
      <c r="C243" s="2"/>
      <c r="D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5">
      <c r="A244" s="3"/>
      <c r="B244" s="2"/>
      <c r="C244" s="2"/>
      <c r="D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5">
      <c r="A245" s="3"/>
      <c r="B245" s="2"/>
      <c r="C245" s="2"/>
      <c r="D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s="3"/>
      <c r="B246" s="2"/>
      <c r="C246" s="2"/>
      <c r="D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5">
      <c r="A247" s="3"/>
      <c r="B247" s="2"/>
      <c r="C247" s="2"/>
      <c r="D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5">
      <c r="A248" s="3"/>
      <c r="B248" s="2"/>
      <c r="C248" s="2"/>
      <c r="D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5">
      <c r="A249" s="3"/>
      <c r="B249" s="2"/>
      <c r="C249" s="2"/>
      <c r="D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5">
      <c r="A250" s="3"/>
      <c r="B250" s="2"/>
      <c r="C250" s="2"/>
      <c r="D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s="3"/>
      <c r="B251" s="2"/>
      <c r="C251" s="2"/>
      <c r="D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5">
      <c r="A252" s="3"/>
      <c r="B252" s="2"/>
      <c r="C252" s="2"/>
      <c r="D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5">
      <c r="A253" s="3"/>
      <c r="B253" s="2"/>
      <c r="C253" s="2"/>
      <c r="D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5">
      <c r="A254" s="3"/>
      <c r="B254" s="2"/>
      <c r="C254" s="2"/>
      <c r="D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5">
      <c r="A255" s="3"/>
      <c r="B255" s="2"/>
      <c r="C255" s="2"/>
      <c r="D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s="3"/>
      <c r="B256" s="2"/>
      <c r="C256" s="2"/>
      <c r="D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5">
      <c r="A257" s="3"/>
      <c r="B257" s="2"/>
      <c r="C257" s="2"/>
      <c r="D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5">
      <c r="A258" s="3"/>
      <c r="B258" s="2"/>
      <c r="C258" s="2"/>
      <c r="D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5">
      <c r="A259" s="3"/>
      <c r="B259" s="2"/>
      <c r="C259" s="2"/>
      <c r="D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5">
      <c r="A260" s="3"/>
      <c r="B260" s="2"/>
      <c r="C260" s="2"/>
      <c r="D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5">
      <c r="A261" s="3"/>
      <c r="B261" s="2"/>
      <c r="C261" s="2"/>
      <c r="D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5">
      <c r="A262" s="3"/>
      <c r="B262" s="2"/>
      <c r="C262" s="2"/>
      <c r="D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s="3"/>
      <c r="B263" s="2"/>
      <c r="C263" s="2"/>
      <c r="D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5">
      <c r="A264" s="3"/>
      <c r="B264" s="2"/>
      <c r="C264" s="2"/>
      <c r="D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5">
      <c r="A265" s="3"/>
      <c r="B265" s="2"/>
      <c r="C265" s="2"/>
      <c r="D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s="3"/>
      <c r="B266" s="2"/>
      <c r="C266" s="2"/>
      <c r="D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5">
      <c r="A267" s="3"/>
      <c r="B267" s="2"/>
      <c r="C267" s="2"/>
      <c r="D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5">
      <c r="A268" s="3"/>
      <c r="B268" s="2"/>
      <c r="C268" s="2"/>
      <c r="D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5">
      <c r="A269" s="3"/>
      <c r="B269" s="2"/>
      <c r="C269" s="2"/>
      <c r="D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5">
      <c r="A270" s="3"/>
      <c r="B270" s="2"/>
      <c r="C270" s="2"/>
      <c r="D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s="3"/>
      <c r="B271" s="2"/>
      <c r="C271" s="2"/>
      <c r="D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5">
      <c r="A272" s="3"/>
      <c r="B272" s="2"/>
      <c r="C272" s="2"/>
      <c r="D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5">
      <c r="A273" s="3"/>
      <c r="B273" s="2"/>
      <c r="C273" s="2"/>
      <c r="D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3"/>
      <c r="B274" s="2"/>
      <c r="C274" s="2"/>
      <c r="D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5">
      <c r="A275" s="3"/>
      <c r="B275" s="2"/>
      <c r="C275" s="2"/>
      <c r="D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5">
      <c r="A276" s="3"/>
      <c r="B276" s="2"/>
      <c r="C276" s="2"/>
      <c r="D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5">
      <c r="A277" s="3"/>
      <c r="B277" s="2"/>
      <c r="C277" s="2"/>
      <c r="D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s="3"/>
      <c r="B278" s="2"/>
      <c r="C278" s="2"/>
      <c r="D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s="3"/>
      <c r="B279" s="2"/>
      <c r="C279" s="2"/>
      <c r="D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5">
      <c r="A280" s="3"/>
      <c r="B280" s="2"/>
      <c r="C280" s="2"/>
      <c r="D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5">
      <c r="A281" s="3"/>
      <c r="B281" s="2"/>
      <c r="C281" s="2"/>
      <c r="D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5">
      <c r="A282" s="3"/>
      <c r="B282" s="2"/>
      <c r="C282" s="2"/>
      <c r="D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5">
      <c r="A283" s="3"/>
      <c r="B283" s="2"/>
      <c r="C283" s="2"/>
      <c r="D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5">
      <c r="A284" s="3"/>
      <c r="B284" s="2"/>
      <c r="C284" s="2"/>
      <c r="D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5">
      <c r="A285" s="3"/>
      <c r="B285" s="2"/>
      <c r="C285" s="2"/>
      <c r="D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5">
      <c r="A286" s="3"/>
      <c r="B286" s="2"/>
      <c r="C286" s="2"/>
      <c r="D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5">
      <c r="A287" s="3"/>
      <c r="B287" s="2"/>
      <c r="C287" s="2"/>
      <c r="D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5">
      <c r="A288" s="3"/>
      <c r="B288" s="2"/>
      <c r="C288" s="2"/>
      <c r="D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5">
      <c r="A289" s="3"/>
      <c r="B289" s="2"/>
      <c r="C289" s="2"/>
      <c r="D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5">
      <c r="A290" s="3"/>
      <c r="B290" s="2"/>
      <c r="C290" s="2"/>
      <c r="D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5">
      <c r="A291" s="3"/>
      <c r="B291" s="2"/>
      <c r="C291" s="2"/>
      <c r="D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5">
      <c r="A292" s="3"/>
      <c r="B292" s="2"/>
      <c r="C292" s="2"/>
      <c r="D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5">
      <c r="A293" s="3"/>
      <c r="B293" s="2"/>
      <c r="C293" s="2"/>
      <c r="D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5">
      <c r="A294" s="3"/>
      <c r="B294" s="2"/>
      <c r="C294" s="2"/>
      <c r="D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5">
      <c r="A295" s="3"/>
      <c r="B295" s="2"/>
      <c r="C295" s="2"/>
      <c r="D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5">
      <c r="A296" s="3"/>
      <c r="B296" s="2"/>
      <c r="C296" s="2"/>
      <c r="D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5">
      <c r="A297" s="3"/>
      <c r="B297" s="2"/>
      <c r="C297" s="2"/>
      <c r="D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5">
      <c r="A298" s="3"/>
      <c r="B298" s="2"/>
      <c r="C298" s="2"/>
      <c r="D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5">
      <c r="A299" s="3"/>
      <c r="B299" s="2"/>
      <c r="C299" s="2"/>
      <c r="D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5">
      <c r="A300" s="3"/>
      <c r="B300" s="2"/>
      <c r="C300" s="2"/>
      <c r="D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5">
      <c r="A301" s="3"/>
      <c r="B301" s="2"/>
      <c r="C301" s="2"/>
      <c r="D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5">
      <c r="A302" s="3"/>
      <c r="B302" s="2"/>
      <c r="C302" s="2"/>
      <c r="D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5">
      <c r="A303" s="3"/>
      <c r="B303" s="2"/>
      <c r="C303" s="2"/>
      <c r="D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5">
      <c r="A304" s="3"/>
      <c r="B304" s="2"/>
      <c r="C304" s="2"/>
      <c r="D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5">
      <c r="A305" s="3"/>
      <c r="B305" s="2"/>
      <c r="C305" s="2"/>
      <c r="D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5">
      <c r="A306" s="3"/>
      <c r="B306" s="2"/>
      <c r="C306" s="2"/>
      <c r="D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5">
      <c r="A307" s="3"/>
      <c r="B307" s="2"/>
      <c r="C307" s="2"/>
      <c r="D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5">
      <c r="A308" s="3"/>
      <c r="B308" s="2"/>
      <c r="C308" s="2"/>
      <c r="D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5">
      <c r="A309" s="3"/>
      <c r="B309" s="2"/>
      <c r="C309" s="2"/>
      <c r="D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5">
      <c r="A310" s="3"/>
      <c r="B310" s="2"/>
      <c r="C310" s="2"/>
      <c r="D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5">
      <c r="B311" s="2"/>
      <c r="C311" s="2"/>
      <c r="D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5">
      <c r="B312" s="2"/>
      <c r="C312" s="2"/>
      <c r="D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5">
      <c r="B313" s="2"/>
      <c r="C313" s="2"/>
      <c r="D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5">
      <c r="B314" s="2"/>
      <c r="C314" s="2"/>
      <c r="D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5">
      <c r="B315" s="2"/>
      <c r="C315" s="2"/>
      <c r="D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5">
      <c r="B316" s="2"/>
      <c r="C316" s="2"/>
      <c r="D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5">
      <c r="B317" s="2"/>
      <c r="C317" s="2"/>
      <c r="D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5">
      <c r="B318" s="2"/>
      <c r="C318" s="2"/>
      <c r="D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5">
      <c r="B319" s="2"/>
      <c r="C319" s="2"/>
      <c r="D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5">
      <c r="B320" s="2"/>
      <c r="C320" s="2"/>
      <c r="D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2:19" x14ac:dyDescent="0.25">
      <c r="B321" s="2"/>
      <c r="C321" s="2"/>
      <c r="D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2:19" x14ac:dyDescent="0.25">
      <c r="B322" s="2"/>
      <c r="C322" s="2"/>
      <c r="D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2:19" x14ac:dyDescent="0.25">
      <c r="B323" s="2"/>
      <c r="C323" s="2"/>
      <c r="D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2:19" x14ac:dyDescent="0.25">
      <c r="B324" s="2"/>
      <c r="C324" s="2"/>
      <c r="D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2:19" x14ac:dyDescent="0.25">
      <c r="B325" s="2"/>
      <c r="C325" s="2"/>
      <c r="D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2:19" x14ac:dyDescent="0.25">
      <c r="B326" s="2"/>
      <c r="C326" s="2"/>
      <c r="D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2:19" x14ac:dyDescent="0.25">
      <c r="B327" s="2"/>
      <c r="C327" s="2"/>
      <c r="D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2:19" x14ac:dyDescent="0.25">
      <c r="B328" s="2"/>
      <c r="C328" s="2"/>
      <c r="D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2:19" x14ac:dyDescent="0.25">
      <c r="B329" s="2"/>
      <c r="C329" s="2"/>
      <c r="D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2:19" x14ac:dyDescent="0.25">
      <c r="B330" s="2"/>
      <c r="C330" s="2"/>
      <c r="D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2:19" x14ac:dyDescent="0.25">
      <c r="B331" s="2"/>
      <c r="C331" s="2"/>
      <c r="D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2:19" x14ac:dyDescent="0.25">
      <c r="B332" s="2"/>
      <c r="C332" s="2"/>
      <c r="D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2:19" x14ac:dyDescent="0.25">
      <c r="B333" s="2"/>
      <c r="C333" s="2"/>
      <c r="D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2:19" x14ac:dyDescent="0.25">
      <c r="B334" s="2"/>
      <c r="C334" s="2"/>
      <c r="D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2:19" x14ac:dyDescent="0.25">
      <c r="C335" s="2"/>
      <c r="D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2:19" x14ac:dyDescent="0.25">
      <c r="C336" s="2"/>
      <c r="D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3:19" x14ac:dyDescent="0.25">
      <c r="C337" s="2"/>
      <c r="D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3:19" x14ac:dyDescent="0.25">
      <c r="C338" s="2"/>
      <c r="D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3:19" x14ac:dyDescent="0.25">
      <c r="C339" s="2"/>
      <c r="D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3:19" x14ac:dyDescent="0.25">
      <c r="C340" s="2"/>
      <c r="D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3:19" x14ac:dyDescent="0.25">
      <c r="C341" s="2"/>
      <c r="D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3:19" x14ac:dyDescent="0.25">
      <c r="C342" s="2"/>
      <c r="D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3:19" x14ac:dyDescent="0.25">
      <c r="C343" s="2"/>
      <c r="D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3:19" x14ac:dyDescent="0.25">
      <c r="C344" s="2"/>
      <c r="D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3:19" x14ac:dyDescent="0.25">
      <c r="C345" s="2"/>
      <c r="D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3:19" x14ac:dyDescent="0.25">
      <c r="C346" s="2"/>
      <c r="D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3:19" x14ac:dyDescent="0.25">
      <c r="C347" s="2"/>
      <c r="D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3:19" x14ac:dyDescent="0.25">
      <c r="C348" s="2"/>
      <c r="D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3:19" x14ac:dyDescent="0.25">
      <c r="C349" s="2"/>
      <c r="D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3:19" x14ac:dyDescent="0.25">
      <c r="C350" s="2"/>
      <c r="D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3:19" x14ac:dyDescent="0.25">
      <c r="C351" s="2"/>
      <c r="D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3:19" x14ac:dyDescent="0.25">
      <c r="C352" s="2"/>
      <c r="D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3:19" x14ac:dyDescent="0.25">
      <c r="C353" s="2"/>
      <c r="D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3:19" x14ac:dyDescent="0.25">
      <c r="C354" s="2"/>
      <c r="D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3:19" x14ac:dyDescent="0.25">
      <c r="C355" s="2"/>
      <c r="D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3:19" x14ac:dyDescent="0.25">
      <c r="C356" s="2"/>
      <c r="D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3:19" x14ac:dyDescent="0.25">
      <c r="C357" s="2"/>
      <c r="D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3:19" x14ac:dyDescent="0.25">
      <c r="C358" s="2"/>
      <c r="D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3:19" x14ac:dyDescent="0.25">
      <c r="C359" s="2"/>
      <c r="D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3:19" x14ac:dyDescent="0.25">
      <c r="C360" s="2"/>
      <c r="D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3:19" x14ac:dyDescent="0.25">
      <c r="C361" s="2"/>
      <c r="D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3:19" x14ac:dyDescent="0.25">
      <c r="C362" s="2"/>
      <c r="D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3:19" x14ac:dyDescent="0.25">
      <c r="C363" s="2"/>
      <c r="D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3:19" x14ac:dyDescent="0.25">
      <c r="C364" s="2"/>
      <c r="D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3:19" x14ac:dyDescent="0.25">
      <c r="C365" s="2"/>
      <c r="D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3:19" x14ac:dyDescent="0.25">
      <c r="C366" s="2"/>
      <c r="D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3:19" x14ac:dyDescent="0.25">
      <c r="C367" s="2"/>
      <c r="D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3:19" x14ac:dyDescent="0.25">
      <c r="C368" s="2"/>
      <c r="D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3:19" x14ac:dyDescent="0.25">
      <c r="C369" s="2"/>
      <c r="D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3:19" x14ac:dyDescent="0.25">
      <c r="C370" s="2"/>
      <c r="D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3:19" x14ac:dyDescent="0.25">
      <c r="C371" s="2"/>
      <c r="D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3:19" x14ac:dyDescent="0.25">
      <c r="C372" s="2"/>
      <c r="D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3:19" x14ac:dyDescent="0.25">
      <c r="C373" s="2"/>
      <c r="D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3:19" x14ac:dyDescent="0.25">
      <c r="C374" s="2"/>
      <c r="D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3:19" x14ac:dyDescent="0.25">
      <c r="C375" s="2"/>
      <c r="D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3:19" x14ac:dyDescent="0.25">
      <c r="C376" s="2"/>
      <c r="D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3:19" x14ac:dyDescent="0.25">
      <c r="C377" s="2"/>
      <c r="D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3:19" x14ac:dyDescent="0.25">
      <c r="C378" s="2"/>
      <c r="D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3:19" x14ac:dyDescent="0.25">
      <c r="C379" s="2"/>
      <c r="D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3:19" x14ac:dyDescent="0.25">
      <c r="C380" s="2"/>
      <c r="D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3:19" x14ac:dyDescent="0.25">
      <c r="C381" s="2"/>
      <c r="D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3:19" x14ac:dyDescent="0.25">
      <c r="C382" s="2"/>
      <c r="D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3:19" x14ac:dyDescent="0.25">
      <c r="C383" s="2"/>
      <c r="D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3:19" x14ac:dyDescent="0.25">
      <c r="C384" s="2"/>
      <c r="D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3:19" x14ac:dyDescent="0.25">
      <c r="C385" s="2"/>
      <c r="D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3:19" x14ac:dyDescent="0.25">
      <c r="C386" s="2"/>
      <c r="D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3:19" x14ac:dyDescent="0.25">
      <c r="C387" s="2"/>
      <c r="D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3:19" x14ac:dyDescent="0.25">
      <c r="C388" s="2"/>
      <c r="D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3:19" x14ac:dyDescent="0.25">
      <c r="C389" s="2"/>
      <c r="D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3:19" x14ac:dyDescent="0.25">
      <c r="C390" s="2"/>
      <c r="D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3:19" x14ac:dyDescent="0.25">
      <c r="C391" s="2"/>
      <c r="D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3:19" x14ac:dyDescent="0.25">
      <c r="C392" s="2"/>
      <c r="D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3:19" x14ac:dyDescent="0.25">
      <c r="C393" s="2"/>
      <c r="D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3:19" x14ac:dyDescent="0.25">
      <c r="C394" s="2"/>
      <c r="D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3:19" x14ac:dyDescent="0.25">
      <c r="C395" s="2"/>
      <c r="D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3:19" x14ac:dyDescent="0.25">
      <c r="C396" s="2"/>
      <c r="D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3:19" x14ac:dyDescent="0.25">
      <c r="C397" s="2"/>
      <c r="D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3:19" x14ac:dyDescent="0.25">
      <c r="C398" s="2"/>
      <c r="D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3:19" x14ac:dyDescent="0.25">
      <c r="C399" s="2"/>
      <c r="D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3:19" x14ac:dyDescent="0.25">
      <c r="C400" s="2"/>
      <c r="D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3:19" x14ac:dyDescent="0.25">
      <c r="C401" s="2"/>
      <c r="D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3:19" x14ac:dyDescent="0.25">
      <c r="C402" s="2"/>
      <c r="D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3:19" x14ac:dyDescent="0.25">
      <c r="C403" s="2"/>
      <c r="D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3:19" x14ac:dyDescent="0.25">
      <c r="C404" s="2"/>
      <c r="D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3:19" x14ac:dyDescent="0.25">
      <c r="C405" s="2"/>
      <c r="D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3:19" x14ac:dyDescent="0.25">
      <c r="C406" s="2"/>
      <c r="D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3:19" x14ac:dyDescent="0.25">
      <c r="C407" s="2"/>
      <c r="D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3:19" x14ac:dyDescent="0.25">
      <c r="C408" s="2"/>
      <c r="D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3:19" x14ac:dyDescent="0.25">
      <c r="C409" s="2"/>
      <c r="D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3:19" x14ac:dyDescent="0.25">
      <c r="C410" s="2"/>
      <c r="D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3:19" x14ac:dyDescent="0.25">
      <c r="C411" s="2"/>
      <c r="D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3:19" x14ac:dyDescent="0.25">
      <c r="C412" s="2"/>
      <c r="D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3:19" x14ac:dyDescent="0.25">
      <c r="C413" s="2"/>
      <c r="D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3:19" x14ac:dyDescent="0.25">
      <c r="C414" s="2"/>
      <c r="D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3:19" x14ac:dyDescent="0.25">
      <c r="C415" s="2"/>
      <c r="D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3:19" x14ac:dyDescent="0.25">
      <c r="C416" s="2"/>
      <c r="D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3:19" x14ac:dyDescent="0.25">
      <c r="C417" s="2"/>
      <c r="D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3:19" x14ac:dyDescent="0.25">
      <c r="C418" s="2"/>
      <c r="D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3:19" x14ac:dyDescent="0.25">
      <c r="C419" s="2"/>
      <c r="D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3:19" x14ac:dyDescent="0.25">
      <c r="C420" s="2"/>
      <c r="D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3:19" x14ac:dyDescent="0.25">
      <c r="C421" s="2"/>
      <c r="D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3:19" x14ac:dyDescent="0.25">
      <c r="C422" s="2"/>
      <c r="D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3:19" x14ac:dyDescent="0.25">
      <c r="C423" s="2"/>
      <c r="D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3:19" x14ac:dyDescent="0.25">
      <c r="C424" s="2"/>
      <c r="D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3:19" x14ac:dyDescent="0.25">
      <c r="C425" s="2"/>
      <c r="D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3:19" x14ac:dyDescent="0.25">
      <c r="C426" s="2"/>
      <c r="D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3:19" x14ac:dyDescent="0.25">
      <c r="C427" s="2"/>
      <c r="D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3:19" x14ac:dyDescent="0.25">
      <c r="C428" s="2"/>
      <c r="D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3:19" x14ac:dyDescent="0.25">
      <c r="C429" s="2"/>
      <c r="D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3:19" x14ac:dyDescent="0.25">
      <c r="C430" s="2"/>
      <c r="D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3:19" x14ac:dyDescent="0.25">
      <c r="C431" s="2"/>
      <c r="D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3:19" x14ac:dyDescent="0.25">
      <c r="C432" s="2"/>
      <c r="D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3:19" x14ac:dyDescent="0.25">
      <c r="C433" s="2"/>
      <c r="D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3:19" x14ac:dyDescent="0.25">
      <c r="C434" s="2"/>
      <c r="D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3:19" x14ac:dyDescent="0.25">
      <c r="C435" s="2"/>
      <c r="D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3:19" x14ac:dyDescent="0.25">
      <c r="C436" s="2"/>
      <c r="D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3:19" x14ac:dyDescent="0.25">
      <c r="C437" s="2"/>
      <c r="D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3:19" x14ac:dyDescent="0.25">
      <c r="C438" s="2"/>
      <c r="D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3:19" x14ac:dyDescent="0.25">
      <c r="C439" s="2"/>
      <c r="D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3:19" x14ac:dyDescent="0.25">
      <c r="C440" s="2"/>
      <c r="D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3:19" x14ac:dyDescent="0.25">
      <c r="C441" s="2"/>
      <c r="D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3:19" x14ac:dyDescent="0.25">
      <c r="C442" s="2"/>
      <c r="D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3:19" x14ac:dyDescent="0.25">
      <c r="C443" s="2"/>
      <c r="D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3:19" x14ac:dyDescent="0.25">
      <c r="C444" s="2"/>
      <c r="D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3:19" x14ac:dyDescent="0.25">
      <c r="C445" s="2"/>
      <c r="D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3:19" x14ac:dyDescent="0.25">
      <c r="C446" s="2"/>
      <c r="D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3:19" x14ac:dyDescent="0.25">
      <c r="C447" s="2"/>
      <c r="D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3:19" x14ac:dyDescent="0.25">
      <c r="C448" s="2"/>
      <c r="D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3:19" x14ac:dyDescent="0.25">
      <c r="C449" s="2"/>
      <c r="D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3:19" x14ac:dyDescent="0.25">
      <c r="C450" s="2"/>
      <c r="D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3:19" x14ac:dyDescent="0.25">
      <c r="C451" s="2"/>
      <c r="D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3:19" x14ac:dyDescent="0.25">
      <c r="C452" s="2"/>
      <c r="D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3:19" x14ac:dyDescent="0.25">
      <c r="C453" s="2"/>
      <c r="D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3:19" x14ac:dyDescent="0.25">
      <c r="C454" s="2"/>
      <c r="D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3:19" x14ac:dyDescent="0.25">
      <c r="C455" s="2"/>
      <c r="D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3:19" x14ac:dyDescent="0.25">
      <c r="C456" s="2"/>
      <c r="D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3:19" x14ac:dyDescent="0.25">
      <c r="C457" s="2"/>
      <c r="D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3:19" x14ac:dyDescent="0.25">
      <c r="C458" s="2"/>
      <c r="D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3:19" x14ac:dyDescent="0.25">
      <c r="C459" s="2"/>
      <c r="D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3:19" x14ac:dyDescent="0.25">
      <c r="C460" s="2"/>
      <c r="D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</sheetData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0"/>
  <sheetViews>
    <sheetView workbookViewId="0">
      <pane xSplit="3" ySplit="1" topLeftCell="D103" activePane="bottomRight" state="frozen"/>
      <selection pane="topRight" activeCell="D1" sqref="D1"/>
      <selection pane="bottomLeft" activeCell="A2" sqref="A2"/>
      <selection pane="bottomRight" activeCell="K5" sqref="K5"/>
    </sheetView>
  </sheetViews>
  <sheetFormatPr defaultColWidth="10.7109375" defaultRowHeight="15" x14ac:dyDescent="0.25"/>
  <cols>
    <col min="1" max="1" width="3.7109375" bestFit="1" customWidth="1"/>
    <col min="2" max="2" width="11" style="1" customWidth="1"/>
    <col min="3" max="3" width="12.140625" style="1" customWidth="1"/>
    <col min="4" max="4" width="14.7109375" customWidth="1"/>
    <col min="5" max="7" width="11.7109375" bestFit="1" customWidth="1"/>
    <col min="8" max="8" width="2.7109375" bestFit="1" customWidth="1"/>
    <col min="9" max="9" width="11.7109375" bestFit="1" customWidth="1"/>
    <col min="10" max="10" width="6.5703125" bestFit="1" customWidth="1"/>
    <col min="11" max="11" width="8" customWidth="1"/>
    <col min="12" max="12" width="8.140625" style="6" customWidth="1"/>
    <col min="13" max="15" width="11.7109375" bestFit="1" customWidth="1"/>
    <col min="16" max="16" width="6.7109375" bestFit="1" customWidth="1"/>
    <col min="17" max="17" width="9.140625" customWidth="1"/>
    <col min="18" max="18" width="10" bestFit="1" customWidth="1"/>
    <col min="19" max="19" width="11.7109375" bestFit="1" customWidth="1"/>
  </cols>
  <sheetData>
    <row r="1" spans="1:22" s="8" customFormat="1" ht="13.9" customHeight="1" x14ac:dyDescent="0.2">
      <c r="A1" s="8" t="s">
        <v>7</v>
      </c>
      <c r="B1" s="8" t="s">
        <v>3</v>
      </c>
      <c r="C1" s="9" t="s">
        <v>21</v>
      </c>
      <c r="D1" s="9" t="s">
        <v>2</v>
      </c>
      <c r="E1" s="8" t="s">
        <v>0</v>
      </c>
      <c r="F1" s="8" t="s">
        <v>23</v>
      </c>
      <c r="G1" s="9" t="s">
        <v>1</v>
      </c>
      <c r="H1" s="9" t="s">
        <v>20</v>
      </c>
      <c r="I1" s="9"/>
      <c r="L1" s="8" t="s">
        <v>11</v>
      </c>
      <c r="M1" s="9" t="s">
        <v>12</v>
      </c>
      <c r="N1" s="9" t="s">
        <v>13</v>
      </c>
      <c r="O1" s="9"/>
      <c r="P1" s="9"/>
      <c r="Q1" s="9"/>
      <c r="R1" s="9"/>
      <c r="S1" s="9"/>
      <c r="T1" s="9"/>
      <c r="U1" s="9"/>
      <c r="V1" s="9"/>
    </row>
    <row r="2" spans="1:22" x14ac:dyDescent="0.25">
      <c r="A2">
        <v>1</v>
      </c>
      <c r="B2" s="3">
        <v>40909</v>
      </c>
      <c r="C2" s="2">
        <v>8093.4</v>
      </c>
      <c r="F2" s="36">
        <f>C2/$D$13</f>
        <v>1.0069622070870394</v>
      </c>
      <c r="J2" s="12" t="s">
        <v>8</v>
      </c>
      <c r="K2" s="16">
        <v>0.13295401042930316</v>
      </c>
      <c r="P2" s="11"/>
      <c r="Q2" s="11" t="s">
        <v>22</v>
      </c>
      <c r="R2" s="11"/>
      <c r="S2" s="11"/>
    </row>
    <row r="3" spans="1:22" x14ac:dyDescent="0.25">
      <c r="A3">
        <v>2</v>
      </c>
      <c r="B3" s="3">
        <v>40940</v>
      </c>
      <c r="C3" s="2">
        <v>7243.1</v>
      </c>
      <c r="F3" s="36">
        <f t="shared" ref="F3:F13" si="0">C3/$D$13</f>
        <v>0.9011698374171716</v>
      </c>
      <c r="J3" s="12" t="s">
        <v>9</v>
      </c>
      <c r="K3" s="16">
        <v>3.1400195175701404E-3</v>
      </c>
      <c r="P3" s="11" t="s">
        <v>17</v>
      </c>
      <c r="Q3" s="11" t="s">
        <v>14</v>
      </c>
      <c r="R3" s="11" t="s">
        <v>15</v>
      </c>
      <c r="S3" s="11" t="s">
        <v>16</v>
      </c>
    </row>
    <row r="4" spans="1:22" x14ac:dyDescent="0.25">
      <c r="A4">
        <v>3</v>
      </c>
      <c r="B4" s="3">
        <v>40969</v>
      </c>
      <c r="C4" s="2">
        <v>8017.8</v>
      </c>
      <c r="F4" s="36">
        <f t="shared" si="0"/>
        <v>0.99755622902395358</v>
      </c>
      <c r="J4" s="12" t="s">
        <v>10</v>
      </c>
      <c r="K4" s="16">
        <v>0.43864519894682169</v>
      </c>
      <c r="P4">
        <v>8093.4</v>
      </c>
      <c r="Q4">
        <v>8403.6</v>
      </c>
      <c r="R4">
        <f t="shared" ref="R4:R15" si="1">Q4-P4</f>
        <v>310.20000000000073</v>
      </c>
      <c r="S4">
        <f t="shared" ref="S4:S15" si="2">R4/12</f>
        <v>25.850000000000062</v>
      </c>
    </row>
    <row r="5" spans="1:22" x14ac:dyDescent="0.25">
      <c r="A5">
        <v>4</v>
      </c>
      <c r="B5" s="3">
        <v>41000</v>
      </c>
      <c r="C5" s="2">
        <v>7835.6</v>
      </c>
      <c r="F5" s="36">
        <f t="shared" si="0"/>
        <v>0.97488732422111934</v>
      </c>
      <c r="P5">
        <v>7243.1</v>
      </c>
      <c r="Q5">
        <v>7649.6</v>
      </c>
      <c r="R5">
        <f t="shared" si="1"/>
        <v>406.5</v>
      </c>
      <c r="S5">
        <f t="shared" si="2"/>
        <v>33.875</v>
      </c>
    </row>
    <row r="6" spans="1:22" x14ac:dyDescent="0.25">
      <c r="A6">
        <v>5</v>
      </c>
      <c r="B6" s="3">
        <v>41030</v>
      </c>
      <c r="C6" s="2">
        <v>7887.6</v>
      </c>
      <c r="F6" s="36">
        <f t="shared" si="0"/>
        <v>0.98135704458197215</v>
      </c>
      <c r="P6">
        <v>8017.8</v>
      </c>
      <c r="Q6">
        <v>8285</v>
      </c>
      <c r="R6">
        <f t="shared" si="1"/>
        <v>267.19999999999982</v>
      </c>
      <c r="S6">
        <f t="shared" si="2"/>
        <v>22.266666666666652</v>
      </c>
    </row>
    <row r="7" spans="1:22" x14ac:dyDescent="0.25">
      <c r="A7">
        <v>6</v>
      </c>
      <c r="B7" s="3">
        <v>41061</v>
      </c>
      <c r="C7" s="2">
        <v>7527.9</v>
      </c>
      <c r="F7" s="36">
        <f t="shared" si="0"/>
        <v>0.93660399816276529</v>
      </c>
      <c r="P7">
        <v>7835.6</v>
      </c>
      <c r="Q7">
        <v>8211.2999999999993</v>
      </c>
      <c r="R7">
        <f t="shared" si="1"/>
        <v>375.69999999999891</v>
      </c>
      <c r="S7">
        <f t="shared" si="2"/>
        <v>31.308333333333241</v>
      </c>
    </row>
    <row r="8" spans="1:22" x14ac:dyDescent="0.25">
      <c r="A8">
        <v>7</v>
      </c>
      <c r="B8" s="3">
        <v>41091</v>
      </c>
      <c r="C8" s="2">
        <v>8044.4</v>
      </c>
      <c r="F8" s="36">
        <f t="shared" si="0"/>
        <v>1.0008657398239282</v>
      </c>
      <c r="P8">
        <v>7887.6</v>
      </c>
      <c r="Q8">
        <v>8059</v>
      </c>
      <c r="R8">
        <f t="shared" si="1"/>
        <v>171.39999999999964</v>
      </c>
      <c r="S8">
        <f t="shared" si="2"/>
        <v>14.283333333333303</v>
      </c>
    </row>
    <row r="9" spans="1:22" x14ac:dyDescent="0.25">
      <c r="A9">
        <v>8</v>
      </c>
      <c r="B9" s="3">
        <v>41122</v>
      </c>
      <c r="C9" s="2">
        <v>7924.7</v>
      </c>
      <c r="F9" s="36">
        <f t="shared" si="0"/>
        <v>0.985972941224042</v>
      </c>
      <c r="P9">
        <v>7527.9</v>
      </c>
      <c r="Q9">
        <v>7878.3</v>
      </c>
      <c r="R9">
        <f t="shared" si="1"/>
        <v>350.40000000000055</v>
      </c>
      <c r="S9">
        <f t="shared" si="2"/>
        <v>29.200000000000045</v>
      </c>
    </row>
    <row r="10" spans="1:22" x14ac:dyDescent="0.25">
      <c r="A10">
        <v>9</v>
      </c>
      <c r="B10" s="3">
        <v>41153</v>
      </c>
      <c r="C10" s="2">
        <v>7855.4</v>
      </c>
      <c r="F10" s="36">
        <f t="shared" si="0"/>
        <v>0.97735079466621322</v>
      </c>
      <c r="P10">
        <v>8044.4</v>
      </c>
      <c r="Q10">
        <v>8315.2000000000007</v>
      </c>
      <c r="R10">
        <f t="shared" si="1"/>
        <v>270.80000000000109</v>
      </c>
      <c r="S10">
        <f t="shared" si="2"/>
        <v>22.566666666666759</v>
      </c>
    </row>
    <row r="11" spans="1:22" x14ac:dyDescent="0.25">
      <c r="A11">
        <v>10</v>
      </c>
      <c r="B11" s="3">
        <v>41183</v>
      </c>
      <c r="C11" s="2">
        <v>8239.5</v>
      </c>
      <c r="F11" s="36">
        <f t="shared" si="0"/>
        <v>1.025139632947051</v>
      </c>
      <c r="P11">
        <v>7924.7</v>
      </c>
      <c r="Q11">
        <v>8360.2999999999993</v>
      </c>
      <c r="R11">
        <f t="shared" si="1"/>
        <v>435.59999999999945</v>
      </c>
      <c r="S11">
        <f t="shared" si="2"/>
        <v>36.299999999999955</v>
      </c>
    </row>
    <row r="12" spans="1:22" x14ac:dyDescent="0.25">
      <c r="A12">
        <v>11</v>
      </c>
      <c r="B12" s="3">
        <v>41214</v>
      </c>
      <c r="C12" s="2">
        <v>8288.1</v>
      </c>
      <c r="F12" s="36">
        <f t="shared" si="0"/>
        <v>1.0311863331304634</v>
      </c>
      <c r="P12">
        <v>7855.4</v>
      </c>
      <c r="Q12">
        <v>8274.2000000000007</v>
      </c>
      <c r="R12">
        <f t="shared" si="1"/>
        <v>418.80000000000109</v>
      </c>
      <c r="S12">
        <f t="shared" si="2"/>
        <v>34.900000000000091</v>
      </c>
    </row>
    <row r="13" spans="1:22" x14ac:dyDescent="0.25">
      <c r="A13">
        <v>12</v>
      </c>
      <c r="B13" s="3">
        <v>41244</v>
      </c>
      <c r="C13" s="2">
        <v>9491.7999999999993</v>
      </c>
      <c r="D13" s="7">
        <f>AVERAGE(C2:C13)</f>
        <v>8037.4416666666666</v>
      </c>
      <c r="E13" s="6">
        <f>S17</f>
        <v>28.468055555555555</v>
      </c>
      <c r="F13" s="36">
        <f t="shared" si="0"/>
        <v>1.180947917714281</v>
      </c>
      <c r="P13">
        <v>8239.5</v>
      </c>
      <c r="Q13">
        <v>8606.2999999999993</v>
      </c>
      <c r="R13">
        <f t="shared" si="1"/>
        <v>366.79999999999927</v>
      </c>
      <c r="S13">
        <f t="shared" si="2"/>
        <v>30.566666666666606</v>
      </c>
    </row>
    <row r="14" spans="1:22" x14ac:dyDescent="0.25">
      <c r="A14">
        <v>13</v>
      </c>
      <c r="B14" s="3">
        <v>41275</v>
      </c>
      <c r="C14" s="2">
        <v>8403.6</v>
      </c>
      <c r="D14">
        <f>$K$2*(C14/F2)+(1-$K$2)*(D13+E13)</f>
        <v>8103.081961721774</v>
      </c>
      <c r="E14" s="6">
        <f>$K$3*(D14-D13)+(1-$K$3)*E13</f>
        <v>28.584777113095939</v>
      </c>
      <c r="F14" s="36">
        <f>$K$4*(C14/D14)+(1-$K$4)*F2</f>
        <v>1.0201762507678946</v>
      </c>
      <c r="G14">
        <f>(D13+E13)*F2</f>
        <v>8122.0662560536975</v>
      </c>
      <c r="L14" s="6">
        <f>C14-G14</f>
        <v>281.53374394630282</v>
      </c>
      <c r="M14">
        <f>ABS(L14)</f>
        <v>281.53374394630282</v>
      </c>
      <c r="N14">
        <f>L14*L14</f>
        <v>79261.248980422402</v>
      </c>
      <c r="P14">
        <v>8288.1</v>
      </c>
      <c r="Q14">
        <v>8569.9</v>
      </c>
      <c r="R14">
        <f t="shared" si="1"/>
        <v>281.79999999999927</v>
      </c>
      <c r="S14">
        <f t="shared" si="2"/>
        <v>23.483333333333274</v>
      </c>
    </row>
    <row r="15" spans="1:22" x14ac:dyDescent="0.25">
      <c r="A15">
        <v>14</v>
      </c>
      <c r="B15" s="3">
        <v>41306</v>
      </c>
      <c r="C15" s="2">
        <v>7649.6</v>
      </c>
      <c r="D15">
        <f t="shared" ref="D15:D78" si="3">$K$2*(C15/F3)+(1-$K$2)*(D14+E14)</f>
        <v>8179.1120783287133</v>
      </c>
      <c r="E15" s="6">
        <f t="shared" ref="E15:E78" si="4">$K$3*(D15-D14)+(1-$K$3)*E14</f>
        <v>28.733756405124346</v>
      </c>
      <c r="F15" s="36">
        <f t="shared" ref="F15:F78" si="5">$K$4*(C15/D15)+(1-$K$4)*F3</f>
        <v>0.91612351865087049</v>
      </c>
      <c r="G15">
        <f t="shared" ref="G15:G78" si="6">(D14+E14)*F3</f>
        <v>7328.0127929664413</v>
      </c>
      <c r="L15" s="6">
        <f t="shared" ref="L15:L78" si="7">C15-G15</f>
        <v>321.58720703355903</v>
      </c>
      <c r="M15">
        <f t="shared" ref="M15:M78" si="8">ABS(L15)</f>
        <v>321.58720703355903</v>
      </c>
      <c r="N15">
        <f t="shared" ref="N15:N78" si="9">L15*L15</f>
        <v>103418.33172764516</v>
      </c>
      <c r="P15">
        <v>9491.7999999999993</v>
      </c>
      <c r="Q15">
        <v>9936</v>
      </c>
      <c r="R15">
        <f t="shared" si="1"/>
        <v>444.20000000000073</v>
      </c>
      <c r="S15">
        <f t="shared" si="2"/>
        <v>37.01666666666673</v>
      </c>
    </row>
    <row r="16" spans="1:22" x14ac:dyDescent="0.25">
      <c r="A16">
        <v>15</v>
      </c>
      <c r="B16" s="3">
        <v>41334</v>
      </c>
      <c r="C16" s="2">
        <v>8285</v>
      </c>
      <c r="D16">
        <f t="shared" si="3"/>
        <v>8220.8022571850033</v>
      </c>
      <c r="E16" s="6">
        <f t="shared" si="4"/>
        <v>28.774439824498891</v>
      </c>
      <c r="F16" s="36">
        <f t="shared" si="5"/>
        <v>1.0020536377181086</v>
      </c>
      <c r="G16">
        <f t="shared" si="6"/>
        <v>8187.7877393070521</v>
      </c>
      <c r="L16" s="6">
        <f t="shared" si="7"/>
        <v>97.212260692947893</v>
      </c>
      <c r="M16">
        <f t="shared" si="8"/>
        <v>97.212260692947893</v>
      </c>
      <c r="N16">
        <f t="shared" si="9"/>
        <v>9450.2236290336623</v>
      </c>
    </row>
    <row r="17" spans="1:19" x14ac:dyDescent="0.25">
      <c r="A17">
        <v>16</v>
      </c>
      <c r="B17" s="3">
        <v>41365</v>
      </c>
      <c r="C17" s="2">
        <v>8211.2999999999993</v>
      </c>
      <c r="D17">
        <f t="shared" si="3"/>
        <v>8272.6100272521217</v>
      </c>
      <c r="E17" s="6">
        <f t="shared" si="4"/>
        <v>28.846764931015354</v>
      </c>
      <c r="F17" s="36">
        <f t="shared" si="5"/>
        <v>0.98265198841401324</v>
      </c>
      <c r="G17">
        <f t="shared" si="6"/>
        <v>8042.4077521044937</v>
      </c>
      <c r="L17" s="6">
        <f t="shared" si="7"/>
        <v>168.89224789550553</v>
      </c>
      <c r="M17">
        <f t="shared" si="8"/>
        <v>168.89224789550553</v>
      </c>
      <c r="N17">
        <f t="shared" si="9"/>
        <v>28524.591399196892</v>
      </c>
      <c r="R17" s="11" t="s">
        <v>18</v>
      </c>
      <c r="S17">
        <f>AVERAGE(S4:S15)</f>
        <v>28.468055555555555</v>
      </c>
    </row>
    <row r="18" spans="1:19" x14ac:dyDescent="0.25">
      <c r="A18">
        <v>17</v>
      </c>
      <c r="B18" s="3">
        <v>41395</v>
      </c>
      <c r="C18" s="2">
        <v>8059</v>
      </c>
      <c r="D18">
        <f t="shared" si="3"/>
        <v>8289.5761521700715</v>
      </c>
      <c r="E18" s="6">
        <f t="shared" si="4"/>
        <v>28.809459489493101</v>
      </c>
      <c r="F18" s="36">
        <f t="shared" si="5"/>
        <v>0.9773336870470386</v>
      </c>
      <c r="G18">
        <f t="shared" si="6"/>
        <v>8146.6931033017818</v>
      </c>
      <c r="L18" s="6">
        <f t="shared" si="7"/>
        <v>-87.693103301781775</v>
      </c>
      <c r="M18">
        <f t="shared" si="8"/>
        <v>87.693103301781775</v>
      </c>
      <c r="N18">
        <f t="shared" si="9"/>
        <v>7690.0803666969696</v>
      </c>
    </row>
    <row r="19" spans="1:19" x14ac:dyDescent="0.25">
      <c r="A19">
        <v>18</v>
      </c>
      <c r="B19" s="3">
        <v>41426</v>
      </c>
      <c r="C19" s="2">
        <v>7878.3</v>
      </c>
      <c r="D19">
        <f t="shared" si="3"/>
        <v>8330.7734170890672</v>
      </c>
      <c r="E19" s="6">
        <f t="shared" si="4"/>
        <v>28.8483574403216</v>
      </c>
      <c r="F19" s="36">
        <f t="shared" si="5"/>
        <v>0.94058799635224055</v>
      </c>
      <c r="G19">
        <f t="shared" si="6"/>
        <v>7791.0332221399685</v>
      </c>
      <c r="L19" s="6">
        <f t="shared" si="7"/>
        <v>87.266777860031652</v>
      </c>
      <c r="M19">
        <f t="shared" si="8"/>
        <v>87.266777860031652</v>
      </c>
      <c r="N19">
        <f t="shared" si="9"/>
        <v>7615.4905180721107</v>
      </c>
    </row>
    <row r="20" spans="1:19" x14ac:dyDescent="0.25">
      <c r="A20">
        <v>19</v>
      </c>
      <c r="B20" s="3">
        <v>41456</v>
      </c>
      <c r="C20" s="2">
        <v>8315.2000000000007</v>
      </c>
      <c r="D20">
        <f t="shared" si="3"/>
        <v>8352.7594400446687</v>
      </c>
      <c r="E20" s="6">
        <f t="shared" si="4"/>
        <v>28.826809576103482</v>
      </c>
      <c r="F20" s="36">
        <f t="shared" si="5"/>
        <v>0.99851355304651523</v>
      </c>
      <c r="G20">
        <f t="shared" si="6"/>
        <v>8366.8590320125768</v>
      </c>
      <c r="L20" s="6">
        <f t="shared" si="7"/>
        <v>-51.659032012576063</v>
      </c>
      <c r="M20">
        <f t="shared" si="8"/>
        <v>51.659032012576063</v>
      </c>
      <c r="N20">
        <f t="shared" si="9"/>
        <v>2668.6555884763584</v>
      </c>
    </row>
    <row r="21" spans="1:19" x14ac:dyDescent="0.25">
      <c r="A21">
        <v>20</v>
      </c>
      <c r="B21" s="3">
        <v>41487</v>
      </c>
      <c r="C21" s="2">
        <v>8360.2999999999993</v>
      </c>
      <c r="D21">
        <f t="shared" si="3"/>
        <v>8394.5695452633736</v>
      </c>
      <c r="E21" s="6">
        <f t="shared" si="4"/>
        <v>28.867577377823636</v>
      </c>
      <c r="F21" s="36">
        <f t="shared" si="5"/>
        <v>0.99033514132748501</v>
      </c>
      <c r="G21">
        <f t="shared" si="6"/>
        <v>8264.0172466615804</v>
      </c>
      <c r="L21" s="6">
        <f t="shared" si="7"/>
        <v>96.282753338418843</v>
      </c>
      <c r="M21">
        <f t="shared" si="8"/>
        <v>96.282753338418843</v>
      </c>
      <c r="N21">
        <f t="shared" si="9"/>
        <v>9270.3685904268041</v>
      </c>
    </row>
    <row r="22" spans="1:19" x14ac:dyDescent="0.25">
      <c r="A22">
        <v>21</v>
      </c>
      <c r="B22" s="3">
        <v>41518</v>
      </c>
      <c r="C22" s="2">
        <v>8274.2000000000007</v>
      </c>
      <c r="D22">
        <f t="shared" si="3"/>
        <v>8429.0889775028445</v>
      </c>
      <c r="E22" s="6">
        <f t="shared" si="4"/>
        <v>28.885324312399685</v>
      </c>
      <c r="F22" s="36">
        <f t="shared" si="5"/>
        <v>0.97922542182677974</v>
      </c>
      <c r="G22">
        <f t="shared" si="6"/>
        <v>8232.6529656342536</v>
      </c>
      <c r="L22" s="6">
        <f t="shared" si="7"/>
        <v>41.547034365747095</v>
      </c>
      <c r="M22">
        <f t="shared" si="8"/>
        <v>41.547034365747095</v>
      </c>
      <c r="N22">
        <f t="shared" si="9"/>
        <v>1726.1560645885702</v>
      </c>
    </row>
    <row r="23" spans="1:19" x14ac:dyDescent="0.25">
      <c r="A23">
        <v>22</v>
      </c>
      <c r="B23" s="3">
        <v>41548</v>
      </c>
      <c r="C23" s="2">
        <v>8606.2999999999993</v>
      </c>
      <c r="D23">
        <f t="shared" si="3"/>
        <v>8449.6343999562996</v>
      </c>
      <c r="E23" s="6">
        <f t="shared" si="4"/>
        <v>28.859136857787981</v>
      </c>
      <c r="F23" s="36">
        <f t="shared" si="5"/>
        <v>1.0222452224933236</v>
      </c>
      <c r="G23">
        <f t="shared" si="6"/>
        <v>8670.6046712384687</v>
      </c>
      <c r="L23" s="6">
        <f t="shared" si="7"/>
        <v>-64.304671238469382</v>
      </c>
      <c r="M23">
        <f t="shared" si="8"/>
        <v>64.304671238469382</v>
      </c>
      <c r="N23">
        <f t="shared" si="9"/>
        <v>4135.0907430876314</v>
      </c>
    </row>
    <row r="24" spans="1:19" x14ac:dyDescent="0.25">
      <c r="A24">
        <v>23</v>
      </c>
      <c r="B24" s="3">
        <v>41579</v>
      </c>
      <c r="C24" s="2">
        <v>8569.9</v>
      </c>
      <c r="D24">
        <f t="shared" si="3"/>
        <v>8456.1872584706707</v>
      </c>
      <c r="E24" s="6">
        <f t="shared" si="4"/>
        <v>28.789094708425299</v>
      </c>
      <c r="F24" s="36">
        <f t="shared" si="5"/>
        <v>1.0234051838719782</v>
      </c>
      <c r="G24">
        <f t="shared" si="6"/>
        <v>8742.9066606976521</v>
      </c>
      <c r="L24" s="6">
        <f t="shared" si="7"/>
        <v>-173.00666069765248</v>
      </c>
      <c r="M24">
        <f t="shared" si="8"/>
        <v>173.00666069765248</v>
      </c>
      <c r="N24">
        <f t="shared" si="9"/>
        <v>29931.304645752651</v>
      </c>
    </row>
    <row r="25" spans="1:19" x14ac:dyDescent="0.25">
      <c r="A25">
        <v>24</v>
      </c>
      <c r="B25" s="3">
        <v>41609</v>
      </c>
      <c r="C25" s="2">
        <v>9936</v>
      </c>
      <c r="D25">
        <f t="shared" si="3"/>
        <v>8475.4839462906384</v>
      </c>
      <c r="E25" s="6">
        <f t="shared" si="4"/>
        <v>28.759288365526825</v>
      </c>
      <c r="F25" s="36">
        <f t="shared" si="5"/>
        <v>1.1771643922862145</v>
      </c>
      <c r="G25">
        <f t="shared" si="6"/>
        <v>10020.315156141767</v>
      </c>
      <c r="L25" s="6">
        <f t="shared" si="7"/>
        <v>-84.315156141767147</v>
      </c>
      <c r="M25">
        <f t="shared" si="8"/>
        <v>84.315156141767147</v>
      </c>
      <c r="N25">
        <f t="shared" si="9"/>
        <v>7109.0455552105741</v>
      </c>
    </row>
    <row r="26" spans="1:19" x14ac:dyDescent="0.25">
      <c r="A26">
        <v>25</v>
      </c>
      <c r="B26" s="3">
        <v>41640</v>
      </c>
      <c r="C26" s="2">
        <v>8534.7999999999993</v>
      </c>
      <c r="D26">
        <f t="shared" si="3"/>
        <v>8485.8639571642652</v>
      </c>
      <c r="E26" s="6">
        <f t="shared" si="4"/>
        <v>28.701577075483421</v>
      </c>
      <c r="F26" s="36">
        <f t="shared" si="5"/>
        <v>1.0138556020959095</v>
      </c>
      <c r="G26">
        <f t="shared" si="6"/>
        <v>8675.8269787497593</v>
      </c>
      <c r="L26" s="6">
        <f t="shared" si="7"/>
        <v>-141.02697874976002</v>
      </c>
      <c r="M26">
        <f t="shared" si="8"/>
        <v>141.02697874976002</v>
      </c>
      <c r="N26">
        <f t="shared" si="9"/>
        <v>19888.608735285263</v>
      </c>
    </row>
    <row r="27" spans="1:19" x14ac:dyDescent="0.25">
      <c r="A27">
        <v>26</v>
      </c>
      <c r="B27" s="3">
        <v>41671</v>
      </c>
      <c r="C27" s="2">
        <v>8119.1</v>
      </c>
      <c r="D27">
        <f t="shared" si="3"/>
        <v>8560.8183319800628</v>
      </c>
      <c r="E27" s="6">
        <f t="shared" si="4"/>
        <v>28.84681176313023</v>
      </c>
      <c r="F27" s="36">
        <f t="shared" si="5"/>
        <v>0.93028246157369654</v>
      </c>
      <c r="G27">
        <f t="shared" si="6"/>
        <v>7800.393737011148</v>
      </c>
      <c r="L27" s="6">
        <f t="shared" si="7"/>
        <v>318.70626298885236</v>
      </c>
      <c r="M27">
        <f t="shared" si="8"/>
        <v>318.70626298885236</v>
      </c>
      <c r="N27">
        <f t="shared" si="9"/>
        <v>101573.68206831953</v>
      </c>
    </row>
    <row r="28" spans="1:19" x14ac:dyDescent="0.25">
      <c r="A28">
        <v>27</v>
      </c>
      <c r="B28" s="3">
        <v>41699</v>
      </c>
      <c r="C28" s="2">
        <v>8736.6</v>
      </c>
      <c r="D28">
        <f t="shared" si="3"/>
        <v>8606.8201751703564</v>
      </c>
      <c r="E28" s="6">
        <f t="shared" si="4"/>
        <v>28.900678896636052</v>
      </c>
      <c r="F28" s="36">
        <f t="shared" si="5"/>
        <v>1.0077670271863954</v>
      </c>
      <c r="G28">
        <f t="shared" si="6"/>
        <v>8607.3052040683069</v>
      </c>
      <c r="L28" s="6">
        <f t="shared" si="7"/>
        <v>129.29479593169344</v>
      </c>
      <c r="M28">
        <f t="shared" si="8"/>
        <v>129.29479593169344</v>
      </c>
      <c r="N28">
        <f t="shared" si="9"/>
        <v>16717.144255018251</v>
      </c>
    </row>
    <row r="29" spans="1:19" x14ac:dyDescent="0.25">
      <c r="A29">
        <v>28</v>
      </c>
      <c r="B29" s="3">
        <v>41730</v>
      </c>
      <c r="C29" s="2">
        <v>8399.2000000000007</v>
      </c>
      <c r="D29">
        <f t="shared" si="3"/>
        <v>8623.9891197514535</v>
      </c>
      <c r="E29" s="6">
        <f t="shared" si="4"/>
        <v>28.863841021910311</v>
      </c>
      <c r="F29" s="36">
        <f t="shared" si="5"/>
        <v>0.97882807694804808</v>
      </c>
      <c r="G29">
        <f t="shared" si="6"/>
        <v>8485.9082686372913</v>
      </c>
      <c r="L29" s="6">
        <f t="shared" si="7"/>
        <v>-86.70826863729053</v>
      </c>
      <c r="M29">
        <f t="shared" si="8"/>
        <v>86.70826863729053</v>
      </c>
      <c r="N29">
        <f t="shared" si="9"/>
        <v>7518.3238500765401</v>
      </c>
    </row>
    <row r="30" spans="1:19" x14ac:dyDescent="0.25">
      <c r="A30">
        <v>29</v>
      </c>
      <c r="B30" s="3">
        <v>41760</v>
      </c>
      <c r="C30" s="2">
        <v>8450.7000000000007</v>
      </c>
      <c r="D30">
        <f t="shared" si="3"/>
        <v>8652.0333774596893</v>
      </c>
      <c r="E30" s="6">
        <f t="shared" si="4"/>
        <v>28.861267514309098</v>
      </c>
      <c r="F30" s="36">
        <f t="shared" si="5"/>
        <v>0.97706885419217815</v>
      </c>
      <c r="G30">
        <f t="shared" si="6"/>
        <v>8456.7246876285153</v>
      </c>
      <c r="L30" s="6">
        <f t="shared" si="7"/>
        <v>-6.0246876285145845</v>
      </c>
      <c r="M30">
        <f t="shared" si="8"/>
        <v>6.0246876285145845</v>
      </c>
      <c r="N30">
        <f t="shared" si="9"/>
        <v>36.296861021176689</v>
      </c>
    </row>
    <row r="31" spans="1:19" x14ac:dyDescent="0.25">
      <c r="A31">
        <v>30</v>
      </c>
      <c r="B31" s="3">
        <v>41791</v>
      </c>
      <c r="C31" s="2">
        <v>8269.7000000000007</v>
      </c>
      <c r="D31">
        <f t="shared" si="3"/>
        <v>8695.6736626100519</v>
      </c>
      <c r="E31" s="6">
        <f t="shared" si="4"/>
        <v>28.907673918136823</v>
      </c>
      <c r="F31" s="36">
        <f t="shared" si="5"/>
        <v>0.9451609398850167</v>
      </c>
      <c r="G31">
        <f t="shared" si="6"/>
        <v>8165.1453006609872</v>
      </c>
      <c r="L31" s="6">
        <f t="shared" si="7"/>
        <v>104.5546993390135</v>
      </c>
      <c r="M31">
        <f t="shared" si="8"/>
        <v>104.5546993390135</v>
      </c>
      <c r="N31">
        <f t="shared" si="9"/>
        <v>10931.685153871509</v>
      </c>
    </row>
    <row r="32" spans="1:19" x14ac:dyDescent="0.25">
      <c r="A32">
        <v>31</v>
      </c>
      <c r="B32" s="3">
        <v>41821</v>
      </c>
      <c r="C32" s="2">
        <v>8500.4</v>
      </c>
      <c r="D32">
        <f t="shared" si="3"/>
        <v>8696.4579558755668</v>
      </c>
      <c r="E32" s="6">
        <f t="shared" si="4"/>
        <v>28.819365953987536</v>
      </c>
      <c r="F32" s="36">
        <f t="shared" si="5"/>
        <v>0.98927650591416594</v>
      </c>
      <c r="G32">
        <f t="shared" si="6"/>
        <v>8711.6127091800754</v>
      </c>
      <c r="L32" s="6">
        <f t="shared" si="7"/>
        <v>-211.21270918007576</v>
      </c>
      <c r="M32">
        <f t="shared" si="8"/>
        <v>211.21270918007576</v>
      </c>
      <c r="N32">
        <f t="shared" si="9"/>
        <v>44610.80851918726</v>
      </c>
    </row>
    <row r="33" spans="1:14" x14ac:dyDescent="0.25">
      <c r="A33">
        <v>32</v>
      </c>
      <c r="B33" s="3">
        <v>41852</v>
      </c>
      <c r="C33" s="2">
        <v>8787.9</v>
      </c>
      <c r="D33">
        <f t="shared" si="3"/>
        <v>8745.0057523963642</v>
      </c>
      <c r="E33" s="6">
        <f t="shared" si="4"/>
        <v>28.881313611018346</v>
      </c>
      <c r="F33" s="36">
        <f t="shared" si="5"/>
        <v>0.99672613960202883</v>
      </c>
      <c r="G33">
        <f t="shared" si="6"/>
        <v>8640.9487496355723</v>
      </c>
      <c r="L33" s="6">
        <f t="shared" si="7"/>
        <v>146.95125036442732</v>
      </c>
      <c r="M33">
        <f t="shared" si="8"/>
        <v>146.95125036442732</v>
      </c>
      <c r="N33">
        <f t="shared" si="9"/>
        <v>21594.669983668602</v>
      </c>
    </row>
    <row r="34" spans="1:14" x14ac:dyDescent="0.25">
      <c r="A34">
        <v>33</v>
      </c>
      <c r="B34" s="3">
        <v>41883</v>
      </c>
      <c r="C34" s="2">
        <v>8582.7999999999993</v>
      </c>
      <c r="D34">
        <f t="shared" si="3"/>
        <v>8772.6904480777284</v>
      </c>
      <c r="E34" s="6">
        <f t="shared" si="4"/>
        <v>28.877556207364155</v>
      </c>
      <c r="F34" s="36">
        <f t="shared" si="5"/>
        <v>0.97884333729817929</v>
      </c>
      <c r="G34">
        <f t="shared" si="6"/>
        <v>8591.6132632716053</v>
      </c>
      <c r="L34" s="6">
        <f t="shared" si="7"/>
        <v>-8.8132632716060471</v>
      </c>
      <c r="M34">
        <f t="shared" si="8"/>
        <v>8.8132632716060471</v>
      </c>
      <c r="N34">
        <f t="shared" si="9"/>
        <v>77.673609494640118</v>
      </c>
    </row>
    <row r="35" spans="1:14" x14ac:dyDescent="0.25">
      <c r="A35">
        <v>34</v>
      </c>
      <c r="B35" s="3">
        <v>41913</v>
      </c>
      <c r="C35" s="2">
        <v>8982</v>
      </c>
      <c r="D35">
        <f t="shared" si="3"/>
        <v>8799.570161093503</v>
      </c>
      <c r="E35" s="6">
        <f t="shared" si="4"/>
        <v>28.871282940749516</v>
      </c>
      <c r="F35" s="36">
        <f t="shared" si="5"/>
        <v>1.0215813126598063</v>
      </c>
      <c r="G35">
        <f t="shared" si="6"/>
        <v>8997.3608428305324</v>
      </c>
      <c r="L35" s="6">
        <f t="shared" si="7"/>
        <v>-15.36084283053242</v>
      </c>
      <c r="M35">
        <f t="shared" si="8"/>
        <v>15.36084283053242</v>
      </c>
      <c r="N35">
        <f t="shared" si="9"/>
        <v>235.95549246431924</v>
      </c>
    </row>
    <row r="36" spans="1:14" x14ac:dyDescent="0.25">
      <c r="A36">
        <v>35</v>
      </c>
      <c r="B36" s="3">
        <v>41944</v>
      </c>
      <c r="C36" s="2">
        <v>9048.5</v>
      </c>
      <c r="D36">
        <f t="shared" si="3"/>
        <v>8830.1858246399406</v>
      </c>
      <c r="E36" s="6">
        <f t="shared" si="4"/>
        <v>28.876760329897447</v>
      </c>
      <c r="F36" s="36">
        <f t="shared" si="5"/>
        <v>1.0239835103694142</v>
      </c>
      <c r="G36">
        <f t="shared" si="6"/>
        <v>9035.0727393348661</v>
      </c>
      <c r="L36" s="6">
        <f t="shared" si="7"/>
        <v>13.427260665133872</v>
      </c>
      <c r="M36">
        <f t="shared" si="8"/>
        <v>13.427260665133872</v>
      </c>
      <c r="N36">
        <f t="shared" si="9"/>
        <v>180.29132896945131</v>
      </c>
    </row>
    <row r="37" spans="1:14" x14ac:dyDescent="0.25">
      <c r="A37">
        <v>36</v>
      </c>
      <c r="B37" s="3">
        <v>41974</v>
      </c>
      <c r="C37" s="2">
        <v>10262.1</v>
      </c>
      <c r="D37">
        <f t="shared" si="3"/>
        <v>8840.2604054931944</v>
      </c>
      <c r="E37" s="6">
        <f t="shared" si="4"/>
        <v>28.817721119367931</v>
      </c>
      <c r="F37" s="36">
        <f t="shared" si="5"/>
        <v>1.1700023921532552</v>
      </c>
      <c r="G37">
        <f t="shared" si="6"/>
        <v>10428.573024061559</v>
      </c>
      <c r="L37" s="6">
        <f t="shared" si="7"/>
        <v>-166.47302406155904</v>
      </c>
      <c r="M37">
        <f t="shared" si="8"/>
        <v>166.47302406155904</v>
      </c>
      <c r="N37">
        <f t="shared" si="9"/>
        <v>27713.267740200416</v>
      </c>
    </row>
    <row r="38" spans="1:14" x14ac:dyDescent="0.25">
      <c r="A38">
        <v>37</v>
      </c>
      <c r="B38" s="3">
        <v>42005</v>
      </c>
      <c r="C38" s="2">
        <v>9067.6</v>
      </c>
      <c r="D38">
        <f t="shared" si="3"/>
        <v>8878.9967355079225</v>
      </c>
      <c r="E38" s="6">
        <f t="shared" si="4"/>
        <v>28.84886574488651</v>
      </c>
      <c r="F38" s="36">
        <f t="shared" si="5"/>
        <v>1.0170953934851306</v>
      </c>
      <c r="G38">
        <f t="shared" si="6"/>
        <v>8991.9645440924414</v>
      </c>
      <c r="L38" s="6">
        <f t="shared" si="7"/>
        <v>75.635455907558935</v>
      </c>
      <c r="M38">
        <f t="shared" si="8"/>
        <v>75.635455907558935</v>
      </c>
      <c r="N38">
        <f t="shared" si="9"/>
        <v>5720.7221903442914</v>
      </c>
    </row>
    <row r="39" spans="1:14" x14ac:dyDescent="0.25">
      <c r="A39">
        <v>38</v>
      </c>
      <c r="B39" s="3">
        <v>42036</v>
      </c>
      <c r="C39" s="2">
        <v>8264.7999999999993</v>
      </c>
      <c r="D39">
        <f t="shared" si="3"/>
        <v>8904.6996163542062</v>
      </c>
      <c r="E39" s="6">
        <f t="shared" si="4"/>
        <v>28.838987290902917</v>
      </c>
      <c r="F39" s="36">
        <f t="shared" si="5"/>
        <v>0.92934229184200978</v>
      </c>
      <c r="G39">
        <f t="shared" si="6"/>
        <v>8286.8125332518885</v>
      </c>
      <c r="L39" s="6">
        <f t="shared" si="7"/>
        <v>-22.012533251889181</v>
      </c>
      <c r="M39">
        <f t="shared" si="8"/>
        <v>22.012533251889181</v>
      </c>
      <c r="N39">
        <f t="shared" si="9"/>
        <v>484.55162016552686</v>
      </c>
    </row>
    <row r="40" spans="1:14" x14ac:dyDescent="0.25">
      <c r="A40">
        <v>39</v>
      </c>
      <c r="B40" s="3">
        <v>42064</v>
      </c>
      <c r="C40" s="2">
        <v>9272</v>
      </c>
      <c r="D40">
        <f t="shared" si="3"/>
        <v>8969.0373986915401</v>
      </c>
      <c r="E40" s="6">
        <f t="shared" si="4"/>
        <v>28.950454200198934</v>
      </c>
      <c r="F40" s="36">
        <f t="shared" si="5"/>
        <v>1.0191769312747949</v>
      </c>
      <c r="G40">
        <f t="shared" si="6"/>
        <v>9002.9256408503334</v>
      </c>
      <c r="L40" s="6">
        <f t="shared" si="7"/>
        <v>269.07435914966663</v>
      </c>
      <c r="M40">
        <f t="shared" si="8"/>
        <v>269.07435914966663</v>
      </c>
      <c r="N40">
        <f t="shared" si="9"/>
        <v>72401.010751803784</v>
      </c>
    </row>
    <row r="41" spans="1:14" x14ac:dyDescent="0.25">
      <c r="A41">
        <v>40</v>
      </c>
      <c r="B41" s="3">
        <v>42095</v>
      </c>
      <c r="C41" s="2">
        <v>8614.9</v>
      </c>
      <c r="D41">
        <f t="shared" si="3"/>
        <v>8971.8293248883547</v>
      </c>
      <c r="E41" s="6">
        <f t="shared" si="4"/>
        <v>28.868315911717403</v>
      </c>
      <c r="F41" s="36">
        <f t="shared" si="5"/>
        <v>0.97066426882364998</v>
      </c>
      <c r="G41">
        <f t="shared" si="6"/>
        <v>8807.4831464479175</v>
      </c>
      <c r="L41" s="6">
        <f t="shared" si="7"/>
        <v>-192.5831464479179</v>
      </c>
      <c r="M41">
        <f t="shared" si="8"/>
        <v>192.5831464479179</v>
      </c>
      <c r="N41">
        <f t="shared" si="9"/>
        <v>37088.268295780195</v>
      </c>
    </row>
    <row r="42" spans="1:14" x14ac:dyDescent="0.25">
      <c r="A42">
        <v>41</v>
      </c>
      <c r="B42" s="3">
        <v>42125</v>
      </c>
      <c r="C42" s="2">
        <v>8876.5</v>
      </c>
      <c r="D42">
        <f t="shared" si="3"/>
        <v>9011.8827713787832</v>
      </c>
      <c r="E42" s="6">
        <f t="shared" si="4"/>
        <v>28.903437440041127</v>
      </c>
      <c r="F42" s="36">
        <f t="shared" si="5"/>
        <v>0.98053785792050618</v>
      </c>
      <c r="G42">
        <f t="shared" si="6"/>
        <v>8794.3013308267673</v>
      </c>
      <c r="L42" s="6">
        <f t="shared" si="7"/>
        <v>82.198669173232702</v>
      </c>
      <c r="M42">
        <f t="shared" si="8"/>
        <v>82.198669173232702</v>
      </c>
      <c r="N42">
        <f t="shared" si="9"/>
        <v>6756.6212138505562</v>
      </c>
    </row>
    <row r="43" spans="1:14" x14ac:dyDescent="0.25">
      <c r="A43">
        <v>42</v>
      </c>
      <c r="B43" s="3">
        <v>42156</v>
      </c>
      <c r="C43" s="2">
        <v>8516.9</v>
      </c>
      <c r="D43">
        <f t="shared" si="3"/>
        <v>9036.8337173916098</v>
      </c>
      <c r="E43" s="6">
        <f t="shared" si="4"/>
        <v>28.891026539816643</v>
      </c>
      <c r="F43" s="36">
        <f t="shared" si="5"/>
        <v>0.94397840357919138</v>
      </c>
      <c r="G43">
        <f t="shared" si="6"/>
        <v>8544.9979904266966</v>
      </c>
      <c r="L43" s="6">
        <f t="shared" si="7"/>
        <v>-28.097990426696924</v>
      </c>
      <c r="M43">
        <f t="shared" si="8"/>
        <v>28.097990426696924</v>
      </c>
      <c r="N43">
        <f t="shared" si="9"/>
        <v>789.49706601875198</v>
      </c>
    </row>
    <row r="44" spans="1:14" x14ac:dyDescent="0.25">
      <c r="A44">
        <v>43</v>
      </c>
      <c r="B44" s="3">
        <v>42186</v>
      </c>
      <c r="C44" s="2">
        <v>8855.7999999999993</v>
      </c>
      <c r="D44">
        <f t="shared" si="3"/>
        <v>9050.5772631583313</v>
      </c>
      <c r="E44" s="6">
        <f t="shared" si="4"/>
        <v>28.843463154547106</v>
      </c>
      <c r="F44" s="36">
        <f t="shared" si="5"/>
        <v>0.98454024196809309</v>
      </c>
      <c r="G44">
        <f t="shared" si="6"/>
        <v>8968.5084982560784</v>
      </c>
      <c r="L44" s="6">
        <f t="shared" si="7"/>
        <v>-112.70849825607911</v>
      </c>
      <c r="M44">
        <f t="shared" si="8"/>
        <v>112.70849825607911</v>
      </c>
      <c r="N44">
        <f t="shared" si="9"/>
        <v>12703.205579140587</v>
      </c>
    </row>
    <row r="45" spans="1:14" x14ac:dyDescent="0.25">
      <c r="A45">
        <v>44</v>
      </c>
      <c r="B45" s="3">
        <v>42217</v>
      </c>
      <c r="C45" s="2">
        <v>9188.1</v>
      </c>
      <c r="D45">
        <f t="shared" si="3"/>
        <v>9097.8825385088512</v>
      </c>
      <c r="E45" s="6">
        <f t="shared" si="4"/>
        <v>28.901433605172173</v>
      </c>
      <c r="F45" s="36">
        <f t="shared" si="5"/>
        <v>1.0025119463474927</v>
      </c>
      <c r="G45">
        <f t="shared" si="6"/>
        <v>9049.6959703604844</v>
      </c>
      <c r="L45" s="6">
        <f t="shared" si="7"/>
        <v>138.40402963951601</v>
      </c>
      <c r="M45">
        <f t="shared" si="8"/>
        <v>138.40402963951601</v>
      </c>
      <c r="N45">
        <f t="shared" si="9"/>
        <v>19155.675420456027</v>
      </c>
    </row>
    <row r="46" spans="1:14" x14ac:dyDescent="0.25">
      <c r="A46">
        <v>45</v>
      </c>
      <c r="B46" s="3">
        <v>42248</v>
      </c>
      <c r="C46" s="2">
        <v>8839.1</v>
      </c>
      <c r="D46">
        <f t="shared" si="3"/>
        <v>9113.9358042771491</v>
      </c>
      <c r="E46" s="6">
        <f t="shared" si="4"/>
        <v>28.86109010739937</v>
      </c>
      <c r="F46" s="36">
        <f t="shared" si="5"/>
        <v>0.97489601582470176</v>
      </c>
      <c r="G46">
        <f t="shared" si="6"/>
        <v>8933.6916820636234</v>
      </c>
      <c r="L46" s="6">
        <f t="shared" si="7"/>
        <v>-94.591682063623011</v>
      </c>
      <c r="M46">
        <f t="shared" si="8"/>
        <v>94.591682063623011</v>
      </c>
      <c r="N46">
        <f t="shared" si="9"/>
        <v>8947.58631562554</v>
      </c>
    </row>
    <row r="47" spans="1:14" x14ac:dyDescent="0.25">
      <c r="A47">
        <v>46</v>
      </c>
      <c r="B47" s="3">
        <v>42278</v>
      </c>
      <c r="C47" s="2">
        <v>9338.4</v>
      </c>
      <c r="D47">
        <f t="shared" si="3"/>
        <v>9142.5742869918759</v>
      </c>
      <c r="E47" s="6">
        <f t="shared" si="4"/>
        <v>28.860391115841622</v>
      </c>
      <c r="F47" s="36">
        <f t="shared" si="5"/>
        <v>1.0215101588600575</v>
      </c>
      <c r="G47">
        <f t="shared" si="6"/>
        <v>9340.1104527473672</v>
      </c>
      <c r="L47" s="6">
        <f t="shared" si="7"/>
        <v>-1.7104527473675262</v>
      </c>
      <c r="M47">
        <f t="shared" si="8"/>
        <v>1.7104527473675262</v>
      </c>
      <c r="N47">
        <f t="shared" si="9"/>
        <v>2.9256486009771181</v>
      </c>
    </row>
    <row r="48" spans="1:14" x14ac:dyDescent="0.25">
      <c r="A48">
        <v>47</v>
      </c>
      <c r="B48" s="3">
        <v>42309</v>
      </c>
      <c r="C48" s="2">
        <v>9345.9</v>
      </c>
      <c r="D48">
        <f t="shared" si="3"/>
        <v>9165.5272341625896</v>
      </c>
      <c r="E48" s="6">
        <f t="shared" si="4"/>
        <v>28.841841626554967</v>
      </c>
      <c r="F48" s="36">
        <f t="shared" si="5"/>
        <v>1.0220955660032749</v>
      </c>
      <c r="G48">
        <f t="shared" si="6"/>
        <v>9391.3978768125198</v>
      </c>
      <c r="L48" s="6">
        <f t="shared" si="7"/>
        <v>-45.49787681252019</v>
      </c>
      <c r="M48">
        <f t="shared" si="8"/>
        <v>45.49787681252019</v>
      </c>
      <c r="N48">
        <f t="shared" si="9"/>
        <v>2070.0567944472623</v>
      </c>
    </row>
    <row r="49" spans="1:14" x14ac:dyDescent="0.25">
      <c r="A49">
        <v>48</v>
      </c>
      <c r="B49" s="3">
        <v>42339</v>
      </c>
      <c r="C49" s="2">
        <v>10856.4</v>
      </c>
      <c r="D49">
        <f t="shared" si="3"/>
        <v>9205.6151651518976</v>
      </c>
      <c r="E49" s="6">
        <f t="shared" si="4"/>
        <v>28.877154566650351</v>
      </c>
      <c r="F49" s="36">
        <f t="shared" si="5"/>
        <v>1.1740911325437744</v>
      </c>
      <c r="G49">
        <f t="shared" si="6"/>
        <v>10757.433813013215</v>
      </c>
      <c r="L49" s="6">
        <f t="shared" si="7"/>
        <v>98.966186986785033</v>
      </c>
      <c r="M49">
        <f t="shared" si="8"/>
        <v>98.966186986785033</v>
      </c>
      <c r="N49">
        <f t="shared" si="9"/>
        <v>9794.3061667032998</v>
      </c>
    </row>
    <row r="50" spans="1:14" x14ac:dyDescent="0.25">
      <c r="A50">
        <v>49</v>
      </c>
      <c r="B50" s="3">
        <v>42370</v>
      </c>
      <c r="C50" s="2">
        <v>9701.6</v>
      </c>
      <c r="D50">
        <f t="shared" si="3"/>
        <v>9274.9160122145277</v>
      </c>
      <c r="E50" s="6">
        <f t="shared" si="4"/>
        <v>29.004085750059978</v>
      </c>
      <c r="F50" s="36">
        <f t="shared" si="5"/>
        <v>1.0297760504851614</v>
      </c>
      <c r="G50">
        <f t="shared" si="6"/>
        <v>9392.3595995595515</v>
      </c>
      <c r="L50" s="6">
        <f t="shared" si="7"/>
        <v>309.24040044044887</v>
      </c>
      <c r="M50">
        <f t="shared" si="8"/>
        <v>309.24040044044887</v>
      </c>
      <c r="N50">
        <f t="shared" si="9"/>
        <v>95629.625264569171</v>
      </c>
    </row>
    <row r="51" spans="1:14" x14ac:dyDescent="0.25">
      <c r="A51">
        <v>50</v>
      </c>
      <c r="B51" s="3">
        <v>42401</v>
      </c>
      <c r="C51" s="2">
        <v>8667.9</v>
      </c>
      <c r="D51">
        <f t="shared" si="3"/>
        <v>9306.9778542704935</v>
      </c>
      <c r="E51" s="6">
        <f t="shared" si="4"/>
        <v>29.013687164540496</v>
      </c>
      <c r="F51" s="36">
        <f t="shared" si="5"/>
        <v>0.93021571351299359</v>
      </c>
      <c r="G51">
        <f t="shared" si="6"/>
        <v>8646.5264269573472</v>
      </c>
      <c r="L51" s="6">
        <f t="shared" si="7"/>
        <v>21.373573042652424</v>
      </c>
      <c r="M51">
        <f t="shared" si="8"/>
        <v>21.373573042652424</v>
      </c>
      <c r="N51">
        <f t="shared" si="9"/>
        <v>456.8296246095984</v>
      </c>
    </row>
    <row r="52" spans="1:14" x14ac:dyDescent="0.25">
      <c r="A52">
        <v>51</v>
      </c>
      <c r="B52" s="3">
        <v>42430</v>
      </c>
      <c r="C52" s="2">
        <v>9524.6</v>
      </c>
      <c r="D52">
        <f t="shared" si="3"/>
        <v>9337.2403342939233</v>
      </c>
      <c r="E52" s="6">
        <f t="shared" si="4"/>
        <v>29.017608398490811</v>
      </c>
      <c r="F52" s="36">
        <f t="shared" si="5"/>
        <v>1.0195668512877984</v>
      </c>
      <c r="G52">
        <f t="shared" si="6"/>
        <v>9515.0272096072003</v>
      </c>
      <c r="L52" s="6">
        <f t="shared" si="7"/>
        <v>9.572790392800016</v>
      </c>
      <c r="M52">
        <f t="shared" si="8"/>
        <v>9.572790392800016</v>
      </c>
      <c r="N52">
        <f t="shared" si="9"/>
        <v>91.638315904484287</v>
      </c>
    </row>
    <row r="53" spans="1:14" x14ac:dyDescent="0.25">
      <c r="A53">
        <v>52</v>
      </c>
      <c r="B53" s="3">
        <v>42461</v>
      </c>
      <c r="C53" s="2">
        <v>9223.9</v>
      </c>
      <c r="D53">
        <f t="shared" si="3"/>
        <v>9384.3941676874419</v>
      </c>
      <c r="E53" s="6">
        <f t="shared" si="4"/>
        <v>29.074556498950244</v>
      </c>
      <c r="F53" s="36">
        <f t="shared" si="5"/>
        <v>0.97603043069643824</v>
      </c>
      <c r="G53">
        <f t="shared" si="6"/>
        <v>9091.4919175572377</v>
      </c>
      <c r="L53" s="6">
        <f t="shared" si="7"/>
        <v>132.40808244276195</v>
      </c>
      <c r="M53">
        <f t="shared" si="8"/>
        <v>132.40808244276195</v>
      </c>
      <c r="N53">
        <f t="shared" si="9"/>
        <v>17531.900296169246</v>
      </c>
    </row>
    <row r="54" spans="1:14" x14ac:dyDescent="0.25">
      <c r="A54">
        <v>53</v>
      </c>
      <c r="B54" s="3">
        <v>42491</v>
      </c>
      <c r="C54" s="2">
        <v>9386</v>
      </c>
      <c r="D54">
        <f t="shared" si="3"/>
        <v>9434.5856352376231</v>
      </c>
      <c r="E54" s="6">
        <f t="shared" si="4"/>
        <v>29.140864011801902</v>
      </c>
      <c r="F54" s="36">
        <f t="shared" si="5"/>
        <v>0.98681592567019583</v>
      </c>
      <c r="G54">
        <f t="shared" si="6"/>
        <v>9230.2624584154055</v>
      </c>
      <c r="L54" s="6">
        <f t="shared" si="7"/>
        <v>155.73754158459451</v>
      </c>
      <c r="M54">
        <f t="shared" si="8"/>
        <v>155.73754158459451</v>
      </c>
      <c r="N54">
        <f t="shared" si="9"/>
        <v>24254.181858813303</v>
      </c>
    </row>
    <row r="55" spans="1:14" x14ac:dyDescent="0.25">
      <c r="A55">
        <v>54</v>
      </c>
      <c r="B55" s="3">
        <v>42522</v>
      </c>
      <c r="C55" s="2">
        <v>8977.5</v>
      </c>
      <c r="D55">
        <f t="shared" si="3"/>
        <v>9469.9161242967384</v>
      </c>
      <c r="E55" s="6">
        <f t="shared" si="4"/>
        <v>29.160299555256909</v>
      </c>
      <c r="F55" s="36">
        <f t="shared" si="5"/>
        <v>0.94574336143477034</v>
      </c>
      <c r="G55">
        <f t="shared" si="6"/>
        <v>8933.5534326715624</v>
      </c>
      <c r="L55" s="6">
        <f t="shared" si="7"/>
        <v>43.946567328437595</v>
      </c>
      <c r="M55">
        <f t="shared" si="8"/>
        <v>43.946567328437595</v>
      </c>
      <c r="N55">
        <f t="shared" si="9"/>
        <v>1931.3007799528987</v>
      </c>
    </row>
    <row r="56" spans="1:14" x14ac:dyDescent="0.25">
      <c r="A56">
        <v>55</v>
      </c>
      <c r="B56" s="3">
        <v>42552</v>
      </c>
      <c r="C56" s="2">
        <v>9393.2999999999993</v>
      </c>
      <c r="D56">
        <f t="shared" si="3"/>
        <v>9504.6235325892085</v>
      </c>
      <c r="E56" s="6">
        <f t="shared" si="4"/>
        <v>29.177717584957843</v>
      </c>
      <c r="F56" s="36">
        <f t="shared" si="5"/>
        <v>0.98618392966279966</v>
      </c>
      <c r="G56">
        <f t="shared" si="6"/>
        <v>9352.2230008126517</v>
      </c>
      <c r="L56" s="6">
        <f t="shared" si="7"/>
        <v>41.07699918734761</v>
      </c>
      <c r="M56">
        <f t="shared" si="8"/>
        <v>41.07699918734761</v>
      </c>
      <c r="N56">
        <f t="shared" si="9"/>
        <v>1687.3198622373561</v>
      </c>
    </row>
    <row r="57" spans="1:14" x14ac:dyDescent="0.25">
      <c r="A57">
        <v>56</v>
      </c>
      <c r="B57" s="3">
        <v>42583</v>
      </c>
      <c r="C57" s="2">
        <v>9582.4</v>
      </c>
      <c r="D57">
        <f t="shared" si="3"/>
        <v>9537.0704014778548</v>
      </c>
      <c r="E57" s="6">
        <f t="shared" si="4"/>
        <v>29.187982783857315</v>
      </c>
      <c r="F57" s="36">
        <f t="shared" si="5"/>
        <v>1.0034949693069388</v>
      </c>
      <c r="G57">
        <f t="shared" si="6"/>
        <v>9557.7496474022628</v>
      </c>
      <c r="L57" s="6">
        <f t="shared" si="7"/>
        <v>24.650352597736855</v>
      </c>
      <c r="M57">
        <f t="shared" si="8"/>
        <v>24.650352597736855</v>
      </c>
      <c r="N57">
        <f t="shared" si="9"/>
        <v>607.63988319275211</v>
      </c>
    </row>
    <row r="58" spans="1:14" x14ac:dyDescent="0.25">
      <c r="A58">
        <v>57</v>
      </c>
      <c r="B58" s="3">
        <v>42614</v>
      </c>
      <c r="C58" s="2">
        <v>9353.7999999999993</v>
      </c>
      <c r="D58">
        <f t="shared" si="3"/>
        <v>9570.0350647819287</v>
      </c>
      <c r="E58" s="6">
        <f t="shared" si="4"/>
        <v>29.199841634402421</v>
      </c>
      <c r="F58" s="36">
        <f t="shared" si="5"/>
        <v>0.97599656407292112</v>
      </c>
      <c r="G58">
        <f t="shared" si="6"/>
        <v>9326.107185166391</v>
      </c>
      <c r="L58" s="6">
        <f t="shared" si="7"/>
        <v>27.692814833608281</v>
      </c>
      <c r="M58">
        <f t="shared" si="8"/>
        <v>27.692814833608281</v>
      </c>
      <c r="N58">
        <f t="shared" si="9"/>
        <v>766.89199340851485</v>
      </c>
    </row>
    <row r="59" spans="1:14" x14ac:dyDescent="0.25">
      <c r="A59">
        <v>58</v>
      </c>
      <c r="B59" s="3">
        <v>42644</v>
      </c>
      <c r="C59" s="2">
        <v>9964.4</v>
      </c>
      <c r="D59">
        <f t="shared" si="3"/>
        <v>9619.8883257090674</v>
      </c>
      <c r="E59" s="6">
        <f t="shared" si="4"/>
        <v>29.264693774086172</v>
      </c>
      <c r="F59" s="36">
        <f t="shared" si="5"/>
        <v>1.0277837858534609</v>
      </c>
      <c r="G59">
        <f t="shared" si="6"/>
        <v>9805.7159741883552</v>
      </c>
      <c r="L59" s="6">
        <f t="shared" si="7"/>
        <v>158.68402581164446</v>
      </c>
      <c r="M59">
        <f t="shared" si="8"/>
        <v>158.68402581164446</v>
      </c>
      <c r="N59">
        <f t="shared" si="9"/>
        <v>25180.620047790646</v>
      </c>
    </row>
    <row r="60" spans="1:14" x14ac:dyDescent="0.25">
      <c r="A60">
        <v>59</v>
      </c>
      <c r="B60" s="3">
        <v>42675</v>
      </c>
      <c r="C60" s="2">
        <v>9911.1</v>
      </c>
      <c r="D60">
        <f t="shared" si="3"/>
        <v>9655.493563142556</v>
      </c>
      <c r="E60" s="6">
        <f t="shared" si="4"/>
        <v>29.2846032049287</v>
      </c>
      <c r="F60" s="36">
        <f t="shared" si="5"/>
        <v>1.0240155499392205</v>
      </c>
      <c r="G60">
        <f t="shared" si="6"/>
        <v>9862.3565169008434</v>
      </c>
      <c r="L60" s="6">
        <f t="shared" si="7"/>
        <v>48.743483099156947</v>
      </c>
      <c r="M60">
        <f t="shared" si="8"/>
        <v>48.743483099156947</v>
      </c>
      <c r="N60">
        <f t="shared" si="9"/>
        <v>2375.9271446377988</v>
      </c>
    </row>
    <row r="61" spans="1:14" x14ac:dyDescent="0.25">
      <c r="A61">
        <v>60</v>
      </c>
      <c r="B61" s="3">
        <v>42705</v>
      </c>
      <c r="C61" s="2">
        <v>11271.6</v>
      </c>
      <c r="D61">
        <f t="shared" si="3"/>
        <v>9673.5433865626528</v>
      </c>
      <c r="E61" s="6">
        <f t="shared" si="4"/>
        <v>29.249325777128725</v>
      </c>
      <c r="F61" s="36">
        <f t="shared" si="5"/>
        <v>1.1701905016112277</v>
      </c>
      <c r="G61">
        <f t="shared" si="6"/>
        <v>11370.812165762138</v>
      </c>
      <c r="L61" s="6">
        <f t="shared" si="7"/>
        <v>-99.212165762137374</v>
      </c>
      <c r="M61">
        <f t="shared" si="8"/>
        <v>99.212165762137374</v>
      </c>
      <c r="N61">
        <f t="shared" si="9"/>
        <v>9843.0538352138228</v>
      </c>
    </row>
    <row r="62" spans="1:14" x14ac:dyDescent="0.25">
      <c r="A62">
        <v>61</v>
      </c>
      <c r="B62" s="3">
        <v>42736</v>
      </c>
      <c r="C62" s="2">
        <v>9955.4</v>
      </c>
      <c r="D62">
        <f t="shared" si="3"/>
        <v>9698.105573203773</v>
      </c>
      <c r="E62" s="6">
        <f t="shared" si="4"/>
        <v>29.234608068760092</v>
      </c>
      <c r="F62" s="36">
        <f t="shared" si="5"/>
        <v>1.0283523527392893</v>
      </c>
      <c r="G62">
        <f t="shared" si="6"/>
        <v>9991.7035579894673</v>
      </c>
      <c r="L62" s="6">
        <f t="shared" si="7"/>
        <v>-36.303557989467663</v>
      </c>
      <c r="M62">
        <f t="shared" si="8"/>
        <v>36.303557989467663</v>
      </c>
      <c r="N62">
        <f t="shared" si="9"/>
        <v>1317.9483226946413</v>
      </c>
    </row>
    <row r="63" spans="1:14" x14ac:dyDescent="0.25">
      <c r="A63">
        <v>62</v>
      </c>
      <c r="B63" s="3">
        <v>42767</v>
      </c>
      <c r="C63" s="2">
        <v>9020</v>
      </c>
      <c r="D63">
        <f t="shared" si="3"/>
        <v>9723.2632005050746</v>
      </c>
      <c r="E63" s="6">
        <f t="shared" si="4"/>
        <v>29.221806269577513</v>
      </c>
      <c r="F63" s="36">
        <f t="shared" si="5"/>
        <v>0.92909997001550215</v>
      </c>
      <c r="G63">
        <f t="shared" si="6"/>
        <v>9048.5246873060423</v>
      </c>
      <c r="L63" s="6">
        <f t="shared" si="7"/>
        <v>-28.524687306042324</v>
      </c>
      <c r="M63">
        <f t="shared" si="8"/>
        <v>28.524687306042324</v>
      </c>
      <c r="N63">
        <f t="shared" si="9"/>
        <v>813.6577859074921</v>
      </c>
    </row>
    <row r="64" spans="1:14" x14ac:dyDescent="0.25">
      <c r="A64">
        <v>63</v>
      </c>
      <c r="B64" s="3">
        <v>42795</v>
      </c>
      <c r="C64" s="2">
        <v>9926.5</v>
      </c>
      <c r="D64">
        <f t="shared" si="3"/>
        <v>9750.2928855214086</v>
      </c>
      <c r="E64" s="6">
        <f t="shared" si="4"/>
        <v>29.214922966057451</v>
      </c>
      <c r="F64" s="36">
        <f t="shared" si="5"/>
        <v>1.0189111339147419</v>
      </c>
      <c r="G64">
        <f t="shared" si="6"/>
        <v>9943.3104305886955</v>
      </c>
      <c r="L64" s="6">
        <f t="shared" si="7"/>
        <v>-16.810430588695453</v>
      </c>
      <c r="M64">
        <f t="shared" si="8"/>
        <v>16.810430588695453</v>
      </c>
      <c r="N64">
        <f t="shared" si="9"/>
        <v>282.59057657734775</v>
      </c>
    </row>
    <row r="65" spans="1:14" x14ac:dyDescent="0.25">
      <c r="A65">
        <v>64</v>
      </c>
      <c r="B65" s="3">
        <v>42826</v>
      </c>
      <c r="C65" s="2">
        <v>9538</v>
      </c>
      <c r="D65">
        <f t="shared" si="3"/>
        <v>9778.5410316242778</v>
      </c>
      <c r="E65" s="6">
        <f t="shared" si="4"/>
        <v>29.211887267837902</v>
      </c>
      <c r="F65" s="36">
        <f t="shared" si="5"/>
        <v>0.97575439222337779</v>
      </c>
      <c r="G65">
        <f t="shared" si="6"/>
        <v>9545.0972183172016</v>
      </c>
      <c r="L65" s="6">
        <f t="shared" si="7"/>
        <v>-7.097218317201623</v>
      </c>
      <c r="M65">
        <f t="shared" si="8"/>
        <v>7.097218317201623</v>
      </c>
      <c r="N65">
        <f t="shared" si="9"/>
        <v>50.370507842022235</v>
      </c>
    </row>
    <row r="66" spans="1:14" x14ac:dyDescent="0.25">
      <c r="A66">
        <v>65</v>
      </c>
      <c r="B66" s="3">
        <v>42856</v>
      </c>
      <c r="C66" s="2">
        <v>9707.1</v>
      </c>
      <c r="D66">
        <f t="shared" si="3"/>
        <v>9811.6133765753148</v>
      </c>
      <c r="E66" s="6">
        <f t="shared" si="4"/>
        <v>29.224009180309899</v>
      </c>
      <c r="F66" s="36">
        <f t="shared" si="5"/>
        <v>0.98792660474916838</v>
      </c>
      <c r="G66">
        <f t="shared" si="6"/>
        <v>9678.4467754010893</v>
      </c>
      <c r="L66" s="6">
        <f t="shared" si="7"/>
        <v>28.653224598911038</v>
      </c>
      <c r="M66">
        <f t="shared" si="8"/>
        <v>28.653224598911038</v>
      </c>
      <c r="N66">
        <f t="shared" si="9"/>
        <v>821.00727991564065</v>
      </c>
    </row>
    <row r="67" spans="1:14" x14ac:dyDescent="0.25">
      <c r="A67">
        <v>66</v>
      </c>
      <c r="B67" s="3">
        <v>42887</v>
      </c>
      <c r="C67" s="2">
        <v>9217.7999999999993</v>
      </c>
      <c r="D67">
        <f t="shared" si="3"/>
        <v>9828.3106431920605</v>
      </c>
      <c r="E67" s="6">
        <f t="shared" si="4"/>
        <v>29.184674964168732</v>
      </c>
      <c r="F67" s="36">
        <f t="shared" si="5"/>
        <v>0.9422952074557962</v>
      </c>
      <c r="G67">
        <f t="shared" si="6"/>
        <v>9306.9066285374829</v>
      </c>
      <c r="L67" s="6">
        <f t="shared" si="7"/>
        <v>-89.10662853748363</v>
      </c>
      <c r="M67">
        <f t="shared" si="8"/>
        <v>89.10662853748363</v>
      </c>
      <c r="N67">
        <f t="shared" si="9"/>
        <v>7939.9912493170923</v>
      </c>
    </row>
    <row r="68" spans="1:14" x14ac:dyDescent="0.25">
      <c r="A68">
        <v>67</v>
      </c>
      <c r="B68" s="3">
        <v>42917</v>
      </c>
      <c r="C68" s="2">
        <v>9718</v>
      </c>
      <c r="D68">
        <f t="shared" si="3"/>
        <v>9857.0499554768357</v>
      </c>
      <c r="E68" s="6">
        <f t="shared" si="4"/>
        <v>29.183276516663039</v>
      </c>
      <c r="F68" s="36">
        <f t="shared" si="5"/>
        <v>0.98605646821215287</v>
      </c>
      <c r="G68">
        <f t="shared" si="6"/>
        <v>9721.3034694919588</v>
      </c>
      <c r="L68" s="6">
        <f t="shared" si="7"/>
        <v>-3.3034694919588219</v>
      </c>
      <c r="M68">
        <f t="shared" si="8"/>
        <v>3.3034694919588219</v>
      </c>
      <c r="N68">
        <f t="shared" si="9"/>
        <v>10.912910684302677</v>
      </c>
    </row>
    <row r="69" spans="1:14" x14ac:dyDescent="0.25">
      <c r="A69">
        <v>68</v>
      </c>
      <c r="B69" s="3">
        <v>42948</v>
      </c>
      <c r="C69" s="2">
        <v>9834.7999999999993</v>
      </c>
      <c r="D69">
        <f t="shared" si="3"/>
        <v>9874.8409553561723</v>
      </c>
      <c r="E69" s="6">
        <f t="shared" si="4"/>
        <v>29.147504545672273</v>
      </c>
      <c r="F69" s="36">
        <f t="shared" si="5"/>
        <v>1.0001832792469543</v>
      </c>
      <c r="G69">
        <f t="shared" si="6"/>
        <v>9920.785313700555</v>
      </c>
      <c r="L69" s="6">
        <f t="shared" si="7"/>
        <v>-85.985313700555707</v>
      </c>
      <c r="M69">
        <f t="shared" si="8"/>
        <v>85.985313700555707</v>
      </c>
      <c r="N69">
        <f t="shared" si="9"/>
        <v>7393.4741721829732</v>
      </c>
    </row>
    <row r="70" spans="1:14" x14ac:dyDescent="0.25">
      <c r="A70">
        <v>69</v>
      </c>
      <c r="B70" s="3">
        <v>42979</v>
      </c>
      <c r="C70" s="2">
        <v>9645.7999999999993</v>
      </c>
      <c r="D70">
        <f t="shared" si="3"/>
        <v>9901.2014959840726</v>
      </c>
      <c r="E70" s="6">
        <f t="shared" si="4"/>
        <v>29.138753424575707</v>
      </c>
      <c r="F70" s="36">
        <f t="shared" si="5"/>
        <v>0.97521070294331547</v>
      </c>
      <c r="G70">
        <f t="shared" si="6"/>
        <v>9666.2587074820622</v>
      </c>
      <c r="L70" s="6">
        <f t="shared" si="7"/>
        <v>-20.458707482062891</v>
      </c>
      <c r="M70">
        <f t="shared" si="8"/>
        <v>20.458707482062891</v>
      </c>
      <c r="N70">
        <f t="shared" si="9"/>
        <v>418.55871183661611</v>
      </c>
    </row>
    <row r="71" spans="1:14" x14ac:dyDescent="0.25">
      <c r="A71">
        <v>70</v>
      </c>
      <c r="B71" s="3">
        <v>43009</v>
      </c>
      <c r="C71" s="2">
        <v>10319.200000000001</v>
      </c>
      <c r="D71">
        <f t="shared" si="3"/>
        <v>9944.9523952064592</v>
      </c>
      <c r="E71" s="6">
        <f t="shared" si="4"/>
        <v>29.184635847574413</v>
      </c>
      <c r="F71" s="36">
        <f t="shared" si="5"/>
        <v>1.0321036204918037</v>
      </c>
      <c r="G71">
        <f t="shared" si="6"/>
        <v>10206.24269635022</v>
      </c>
      <c r="L71" s="6">
        <f t="shared" si="7"/>
        <v>112.95730364978044</v>
      </c>
      <c r="M71">
        <f t="shared" si="8"/>
        <v>112.95730364978044</v>
      </c>
      <c r="N71">
        <f t="shared" si="9"/>
        <v>12759.352447828702</v>
      </c>
    </row>
    <row r="72" spans="1:14" x14ac:dyDescent="0.25">
      <c r="A72">
        <v>71</v>
      </c>
      <c r="B72" s="3">
        <v>43040</v>
      </c>
      <c r="C72" s="2">
        <v>10128.5</v>
      </c>
      <c r="D72">
        <f t="shared" si="3"/>
        <v>9963.078720984473</v>
      </c>
      <c r="E72" s="6">
        <f t="shared" si="4"/>
        <v>29.149912538124653</v>
      </c>
      <c r="F72" s="36">
        <f t="shared" si="5"/>
        <v>1.0207642590648689</v>
      </c>
      <c r="G72">
        <f t="shared" si="6"/>
        <v>10213.671417023939</v>
      </c>
      <c r="L72" s="6">
        <f t="shared" si="7"/>
        <v>-85.171417023939284</v>
      </c>
      <c r="M72">
        <f t="shared" si="8"/>
        <v>85.171417023939284</v>
      </c>
      <c r="N72">
        <f t="shared" si="9"/>
        <v>7254.1702778657746</v>
      </c>
    </row>
    <row r="73" spans="1:14" x14ac:dyDescent="0.25">
      <c r="A73">
        <v>72</v>
      </c>
      <c r="B73" s="3">
        <v>43070</v>
      </c>
      <c r="C73" s="2">
        <v>11731.2</v>
      </c>
      <c r="D73">
        <f t="shared" si="3"/>
        <v>9996.5902879682162</v>
      </c>
      <c r="E73" s="6">
        <f t="shared" si="4"/>
        <v>29.163608218212794</v>
      </c>
      <c r="F73" s="36">
        <f t="shared" si="5"/>
        <v>1.1716510300014202</v>
      </c>
      <c r="G73">
        <f t="shared" si="6"/>
        <v>11692.811036875883</v>
      </c>
      <c r="L73" s="6">
        <f t="shared" si="7"/>
        <v>38.388963124118163</v>
      </c>
      <c r="M73">
        <f t="shared" si="8"/>
        <v>38.388963124118163</v>
      </c>
      <c r="N73">
        <f t="shared" si="9"/>
        <v>1473.7124897449041</v>
      </c>
    </row>
    <row r="74" spans="1:14" x14ac:dyDescent="0.25">
      <c r="A74">
        <v>73</v>
      </c>
      <c r="B74" s="3">
        <v>43101</v>
      </c>
      <c r="C74" s="2">
        <v>10244.9</v>
      </c>
      <c r="D74">
        <f t="shared" si="3"/>
        <v>10017.336239092419</v>
      </c>
      <c r="E74" s="6">
        <f t="shared" si="4"/>
        <v>29.13717661064539</v>
      </c>
      <c r="F74" s="36">
        <f t="shared" si="5"/>
        <v>1.0258804294066934</v>
      </c>
      <c r="G74">
        <f t="shared" si="6"/>
        <v>10310.007607128409</v>
      </c>
      <c r="L74" s="6">
        <f t="shared" si="7"/>
        <v>-65.107607128409654</v>
      </c>
      <c r="M74">
        <f t="shared" si="8"/>
        <v>65.107607128409654</v>
      </c>
      <c r="N74">
        <f t="shared" si="9"/>
        <v>4239.0005059873392</v>
      </c>
    </row>
    <row r="75" spans="1:14" x14ac:dyDescent="0.25">
      <c r="A75">
        <v>74</v>
      </c>
      <c r="B75" s="3">
        <v>43132</v>
      </c>
      <c r="C75" s="2">
        <v>9556.9</v>
      </c>
      <c r="D75">
        <f t="shared" si="3"/>
        <v>10078.344865727404</v>
      </c>
      <c r="E75" s="6">
        <f t="shared" si="4"/>
        <v>29.237253585775075</v>
      </c>
      <c r="F75" s="36">
        <f t="shared" si="5"/>
        <v>0.93750480373128275</v>
      </c>
      <c r="G75">
        <f t="shared" si="6"/>
        <v>9334.1781492912578</v>
      </c>
      <c r="L75" s="6">
        <f t="shared" si="7"/>
        <v>222.72185070874184</v>
      </c>
      <c r="M75">
        <f t="shared" si="8"/>
        <v>222.72185070874184</v>
      </c>
      <c r="N75">
        <f t="shared" si="9"/>
        <v>49605.022783127089</v>
      </c>
    </row>
    <row r="76" spans="1:14" x14ac:dyDescent="0.25">
      <c r="A76">
        <v>75</v>
      </c>
      <c r="B76" s="3">
        <v>43160</v>
      </c>
      <c r="C76" s="2">
        <v>10354</v>
      </c>
      <c r="D76">
        <f t="shared" si="3"/>
        <v>10114.794367134018</v>
      </c>
      <c r="E76" s="6">
        <f t="shared" si="4"/>
        <v>29.259900184698061</v>
      </c>
      <c r="F76" s="36">
        <f t="shared" si="5"/>
        <v>1.0209894134597106</v>
      </c>
      <c r="G76">
        <f t="shared" si="6"/>
        <v>10298.727958325762</v>
      </c>
      <c r="L76" s="6">
        <f t="shared" si="7"/>
        <v>55.272041674237698</v>
      </c>
      <c r="M76">
        <f t="shared" si="8"/>
        <v>55.272041674237698</v>
      </c>
      <c r="N76">
        <f t="shared" si="9"/>
        <v>3054.9985908386689</v>
      </c>
    </row>
    <row r="77" spans="1:14" x14ac:dyDescent="0.25">
      <c r="A77">
        <v>76</v>
      </c>
      <c r="B77" s="3">
        <v>43191</v>
      </c>
      <c r="C77" s="2">
        <v>9727.9</v>
      </c>
      <c r="D77">
        <f t="shared" si="3"/>
        <v>10120.862463276055</v>
      </c>
      <c r="E77" s="6">
        <f t="shared" si="4"/>
        <v>29.187077467356442</v>
      </c>
      <c r="F77" s="36">
        <f t="shared" si="5"/>
        <v>0.96935834595461379</v>
      </c>
      <c r="G77">
        <f t="shared" si="6"/>
        <v>9898.1055062885353</v>
      </c>
      <c r="L77" s="6">
        <f t="shared" si="7"/>
        <v>-170.20550628853562</v>
      </c>
      <c r="M77">
        <f t="shared" si="8"/>
        <v>170.20550628853562</v>
      </c>
      <c r="N77">
        <f t="shared" si="9"/>
        <v>28969.914370936738</v>
      </c>
    </row>
    <row r="78" spans="1:14" x14ac:dyDescent="0.25">
      <c r="A78">
        <v>77</v>
      </c>
      <c r="B78" s="3">
        <v>43221</v>
      </c>
      <c r="C78" s="2">
        <v>9815.2000000000007</v>
      </c>
      <c r="D78">
        <f t="shared" si="3"/>
        <v>10121.477918575565</v>
      </c>
      <c r="E78" s="6">
        <f t="shared" si="4"/>
        <v>29.097362016100764</v>
      </c>
      <c r="F78" s="36">
        <f t="shared" si="5"/>
        <v>0.97994905135512433</v>
      </c>
      <c r="G78">
        <f t="shared" si="6"/>
        <v>10027.503980822496</v>
      </c>
      <c r="L78" s="6">
        <f t="shared" si="7"/>
        <v>-212.30398082249485</v>
      </c>
      <c r="M78">
        <f t="shared" si="8"/>
        <v>212.30398082249485</v>
      </c>
      <c r="N78">
        <f t="shared" si="9"/>
        <v>45072.980273078261</v>
      </c>
    </row>
    <row r="79" spans="1:14" x14ac:dyDescent="0.25">
      <c r="A79">
        <v>78</v>
      </c>
      <c r="B79" s="3">
        <v>43252</v>
      </c>
      <c r="C79" s="2">
        <v>9516.5</v>
      </c>
      <c r="D79">
        <f t="shared" ref="D79:D133" si="10">$K$2*(C79/F67)+(1-$K$2)*(D78+E78)</f>
        <v>10143.754923891111</v>
      </c>
      <c r="E79" s="6">
        <f t="shared" ref="E79:E133" si="11">$K$3*(D79-D78)+(1-$K$3)*E78</f>
        <v>29.075945962944228</v>
      </c>
      <c r="F79" s="36">
        <f t="shared" ref="F79:F133" si="12">$K$4*(C79/D79)+(1-$K$4)*F67</f>
        <v>0.94048282689643803</v>
      </c>
      <c r="G79">
        <f t="shared" ref="G79:G133" si="13">(D78+E78)*F67</f>
        <v>9564.8384398208</v>
      </c>
      <c r="L79" s="6">
        <f t="shared" ref="L79:L121" si="14">C79-G79</f>
        <v>-48.338439820799977</v>
      </c>
      <c r="M79">
        <f t="shared" ref="M79:M121" si="15">ABS(L79)</f>
        <v>48.338439820799977</v>
      </c>
      <c r="N79">
        <f t="shared" ref="N79:N121" si="16">L79*L79</f>
        <v>2336.604764309101</v>
      </c>
    </row>
    <row r="80" spans="1:14" x14ac:dyDescent="0.25">
      <c r="A80">
        <v>79</v>
      </c>
      <c r="B80" s="3">
        <v>43282</v>
      </c>
      <c r="C80" s="2">
        <v>9928.5</v>
      </c>
      <c r="D80">
        <f t="shared" si="10"/>
        <v>10159.012308233259</v>
      </c>
      <c r="E80" s="6">
        <f t="shared" si="11"/>
        <v>29.032555409750184</v>
      </c>
      <c r="F80" s="36">
        <f t="shared" si="12"/>
        <v>0.98221968543938987</v>
      </c>
      <c r="G80">
        <f t="shared" si="13"/>
        <v>10030.985679247853</v>
      </c>
      <c r="L80" s="6">
        <f t="shared" si="14"/>
        <v>-102.48567924785311</v>
      </c>
      <c r="M80">
        <f t="shared" si="15"/>
        <v>102.48567924785311</v>
      </c>
      <c r="N80">
        <f t="shared" si="16"/>
        <v>10503.314450893829</v>
      </c>
    </row>
    <row r="81" spans="1:14" x14ac:dyDescent="0.25">
      <c r="A81">
        <v>80</v>
      </c>
      <c r="B81" s="3">
        <v>43313</v>
      </c>
      <c r="C81" s="2">
        <v>10041.9</v>
      </c>
      <c r="D81">
        <f t="shared" si="10"/>
        <v>10168.369664641699</v>
      </c>
      <c r="E81" s="6">
        <f t="shared" si="11"/>
        <v>28.970774900873991</v>
      </c>
      <c r="F81" s="36">
        <f t="shared" si="12"/>
        <v>0.99464721056663552</v>
      </c>
      <c r="G81">
        <f t="shared" si="13"/>
        <v>10189.912120833555</v>
      </c>
      <c r="L81" s="6">
        <f t="shared" si="14"/>
        <v>-148.01212083355495</v>
      </c>
      <c r="M81">
        <f t="shared" si="15"/>
        <v>148.01212083355495</v>
      </c>
      <c r="N81">
        <f t="shared" si="16"/>
        <v>21907.587913646868</v>
      </c>
    </row>
    <row r="82" spans="1:14" x14ac:dyDescent="0.25">
      <c r="A82">
        <v>81</v>
      </c>
      <c r="B82" s="3">
        <v>43344</v>
      </c>
      <c r="C82" s="2">
        <v>10005.700000000001</v>
      </c>
      <c r="D82">
        <f t="shared" si="10"/>
        <v>10205.676485678552</v>
      </c>
      <c r="E82" s="6">
        <f t="shared" si="11"/>
        <v>28.996950248440328</v>
      </c>
      <c r="F82" s="36">
        <f t="shared" si="12"/>
        <v>0.97748931737365718</v>
      </c>
      <c r="G82">
        <f t="shared" si="13"/>
        <v>9944.5555381986105</v>
      </c>
      <c r="L82" s="6">
        <f t="shared" si="14"/>
        <v>61.144461801390207</v>
      </c>
      <c r="M82">
        <f t="shared" si="15"/>
        <v>61.144461801390207</v>
      </c>
      <c r="N82">
        <f t="shared" si="16"/>
        <v>3738.6452089816662</v>
      </c>
    </row>
    <row r="83" spans="1:14" x14ac:dyDescent="0.25">
      <c r="A83">
        <v>82</v>
      </c>
      <c r="B83" s="3">
        <v>43374</v>
      </c>
      <c r="C83" s="2">
        <v>10482.6</v>
      </c>
      <c r="D83">
        <f t="shared" si="10"/>
        <v>10224.285062550098</v>
      </c>
      <c r="E83" s="6">
        <f t="shared" si="11"/>
        <v>28.964330553281073</v>
      </c>
      <c r="F83" s="36">
        <f t="shared" si="12"/>
        <v>1.0291038227442235</v>
      </c>
      <c r="G83">
        <f t="shared" si="13"/>
        <v>10563.243507771536</v>
      </c>
      <c r="L83" s="6">
        <f t="shared" si="14"/>
        <v>-80.643507771535951</v>
      </c>
      <c r="M83">
        <f t="shared" si="15"/>
        <v>80.643507771535951</v>
      </c>
      <c r="N83">
        <f t="shared" si="16"/>
        <v>6503.3753456977793</v>
      </c>
    </row>
    <row r="84" spans="1:14" x14ac:dyDescent="0.25">
      <c r="A84">
        <v>83</v>
      </c>
      <c r="B84" s="3">
        <v>43405</v>
      </c>
      <c r="C84" s="2">
        <v>10435.700000000001</v>
      </c>
      <c r="D84">
        <f t="shared" si="10"/>
        <v>10249.283228844008</v>
      </c>
      <c r="E84" s="6">
        <f t="shared" si="11"/>
        <v>28.951876720096759</v>
      </c>
      <c r="F84" s="36">
        <f t="shared" si="12"/>
        <v>1.019634315561615</v>
      </c>
      <c r="G84">
        <f t="shared" si="13"/>
        <v>10466.150519758487</v>
      </c>
      <c r="L84" s="6">
        <f t="shared" si="14"/>
        <v>-30.450519758485825</v>
      </c>
      <c r="M84">
        <f t="shared" si="15"/>
        <v>30.450519758485825</v>
      </c>
      <c r="N84">
        <f t="shared" si="16"/>
        <v>927.23415356193561</v>
      </c>
    </row>
    <row r="85" spans="1:14" x14ac:dyDescent="0.25">
      <c r="A85">
        <v>84</v>
      </c>
      <c r="B85" s="3">
        <v>43435</v>
      </c>
      <c r="C85" s="2">
        <v>12230.1</v>
      </c>
      <c r="D85">
        <f t="shared" si="10"/>
        <v>10299.522622451066</v>
      </c>
      <c r="E85" s="6">
        <f t="shared" si="11"/>
        <v>29.018719938602423</v>
      </c>
      <c r="F85" s="36">
        <f t="shared" si="12"/>
        <v>1.1785782704168035</v>
      </c>
      <c r="G85">
        <f t="shared" si="13"/>
        <v>12042.50474803094</v>
      </c>
      <c r="L85" s="6">
        <f t="shared" si="14"/>
        <v>187.59525196905997</v>
      </c>
      <c r="M85">
        <f t="shared" si="15"/>
        <v>187.59525196905997</v>
      </c>
      <c r="N85">
        <f t="shared" si="16"/>
        <v>35191.978561335098</v>
      </c>
    </row>
    <row r="86" spans="1:14" x14ac:dyDescent="0.25">
      <c r="A86">
        <v>85</v>
      </c>
      <c r="B86" s="3">
        <v>43466</v>
      </c>
      <c r="C86" s="2">
        <v>10431.5</v>
      </c>
      <c r="D86">
        <f t="shared" si="10"/>
        <v>10307.241801123191</v>
      </c>
      <c r="E86" s="6">
        <f t="shared" si="11"/>
        <v>28.951838963310394</v>
      </c>
      <c r="F86" s="36">
        <f t="shared" si="12"/>
        <v>1.019816158380753</v>
      </c>
      <c r="G86">
        <f t="shared" si="13"/>
        <v>10595.848427475499</v>
      </c>
      <c r="L86" s="6">
        <f t="shared" si="14"/>
        <v>-164.34842747549919</v>
      </c>
      <c r="M86">
        <f t="shared" si="15"/>
        <v>164.34842747549919</v>
      </c>
      <c r="N86">
        <f t="shared" si="16"/>
        <v>27010.40561366942</v>
      </c>
    </row>
    <row r="87" spans="1:14" x14ac:dyDescent="0.25">
      <c r="A87">
        <v>86</v>
      </c>
      <c r="B87" s="3">
        <v>43497</v>
      </c>
      <c r="C87" s="2">
        <v>9574.6</v>
      </c>
      <c r="D87">
        <f t="shared" si="10"/>
        <v>10319.79518499189</v>
      </c>
      <c r="E87" s="6">
        <f t="shared" si="11"/>
        <v>28.900347494255318</v>
      </c>
      <c r="F87" s="36">
        <f t="shared" si="12"/>
        <v>0.93324333377729785</v>
      </c>
      <c r="G87">
        <f t="shared" si="13"/>
        <v>9690.231189877828</v>
      </c>
      <c r="L87" s="6">
        <f t="shared" si="14"/>
        <v>-115.63118987782764</v>
      </c>
      <c r="M87">
        <f t="shared" si="15"/>
        <v>115.63118987782764</v>
      </c>
      <c r="N87">
        <f t="shared" si="16"/>
        <v>13370.572072562229</v>
      </c>
    </row>
    <row r="88" spans="1:14" x14ac:dyDescent="0.25">
      <c r="A88">
        <v>87</v>
      </c>
      <c r="B88" s="3">
        <v>43525</v>
      </c>
      <c r="C88" s="2">
        <v>10510.3</v>
      </c>
      <c r="D88">
        <f t="shared" si="10"/>
        <v>10341.454141081602</v>
      </c>
      <c r="E88" s="6">
        <f t="shared" si="11"/>
        <v>28.877609383910688</v>
      </c>
      <c r="F88" s="36">
        <f t="shared" si="12"/>
        <v>1.0189443079307416</v>
      </c>
      <c r="G88">
        <f t="shared" si="13"/>
        <v>10565.908581786156</v>
      </c>
      <c r="L88" s="6">
        <f t="shared" si="14"/>
        <v>-55.608581786156719</v>
      </c>
      <c r="M88">
        <f t="shared" si="15"/>
        <v>55.608581786156719</v>
      </c>
      <c r="N88">
        <f t="shared" si="16"/>
        <v>3092.3143682676809</v>
      </c>
    </row>
    <row r="89" spans="1:14" x14ac:dyDescent="0.25">
      <c r="A89">
        <v>88</v>
      </c>
      <c r="B89" s="3">
        <v>43556</v>
      </c>
      <c r="C89" s="2">
        <v>10274.1</v>
      </c>
      <c r="D89">
        <f t="shared" si="10"/>
        <v>10400.716403163258</v>
      </c>
      <c r="E89" s="6">
        <f t="shared" si="11"/>
        <v>28.973017786416197</v>
      </c>
      <c r="F89" s="36">
        <f t="shared" si="12"/>
        <v>0.97745917464202769</v>
      </c>
      <c r="G89">
        <f t="shared" si="13"/>
        <v>10052.567632631864</v>
      </c>
      <c r="L89" s="6">
        <f t="shared" si="14"/>
        <v>221.53236736813597</v>
      </c>
      <c r="M89">
        <f t="shared" si="15"/>
        <v>221.53236736813597</v>
      </c>
      <c r="N89">
        <f t="shared" si="16"/>
        <v>49076.589791730752</v>
      </c>
    </row>
    <row r="90" spans="1:14" x14ac:dyDescent="0.25">
      <c r="A90">
        <v>89</v>
      </c>
      <c r="B90" s="3">
        <v>43586</v>
      </c>
      <c r="C90" s="2">
        <v>10189.700000000001</v>
      </c>
      <c r="D90">
        <f t="shared" si="10"/>
        <v>10425.501931466453</v>
      </c>
      <c r="E90" s="6">
        <f t="shared" si="11"/>
        <v>28.959868987709264</v>
      </c>
      <c r="F90" s="36">
        <f t="shared" si="12"/>
        <v>0.97882311374775921</v>
      </c>
      <c r="G90">
        <f t="shared" si="13"/>
        <v>10220.56425398821</v>
      </c>
      <c r="L90" s="6">
        <f t="shared" si="14"/>
        <v>-30.864253988209384</v>
      </c>
      <c r="M90">
        <f t="shared" si="15"/>
        <v>30.864253988209384</v>
      </c>
      <c r="N90">
        <f t="shared" si="16"/>
        <v>952.60217424869893</v>
      </c>
    </row>
    <row r="91" spans="1:14" x14ac:dyDescent="0.25">
      <c r="A91">
        <v>90</v>
      </c>
      <c r="B91" s="3">
        <v>43617</v>
      </c>
      <c r="C91" s="2">
        <v>9857.6</v>
      </c>
      <c r="D91">
        <f t="shared" si="10"/>
        <v>10458.046635728786</v>
      </c>
      <c r="E91" s="6">
        <f t="shared" si="11"/>
        <v>28.971125440438854</v>
      </c>
      <c r="F91" s="36">
        <f t="shared" si="12"/>
        <v>0.94140502361415734</v>
      </c>
      <c r="G91">
        <f t="shared" si="13"/>
        <v>9832.2417877719563</v>
      </c>
      <c r="L91" s="6">
        <f t="shared" si="14"/>
        <v>25.358212228044067</v>
      </c>
      <c r="M91">
        <f t="shared" si="15"/>
        <v>25.358212228044067</v>
      </c>
      <c r="N91">
        <f t="shared" si="16"/>
        <v>643.03892740252365</v>
      </c>
    </row>
    <row r="92" spans="1:14" x14ac:dyDescent="0.25">
      <c r="A92">
        <v>91</v>
      </c>
      <c r="B92" s="3">
        <v>43647</v>
      </c>
      <c r="C92" s="2">
        <v>10272.799999999999</v>
      </c>
      <c r="D92">
        <f t="shared" si="10"/>
        <v>10483.260784277812</v>
      </c>
      <c r="E92" s="6">
        <f t="shared" si="11"/>
        <v>28.959328459672761</v>
      </c>
      <c r="F92" s="36">
        <f t="shared" si="12"/>
        <v>0.98121274254800883</v>
      </c>
      <c r="G92">
        <f t="shared" si="13"/>
        <v>10300.555286572931</v>
      </c>
      <c r="L92" s="6">
        <f t="shared" si="14"/>
        <v>-27.755286572932164</v>
      </c>
      <c r="M92">
        <f t="shared" si="15"/>
        <v>27.755286572932164</v>
      </c>
      <c r="N92">
        <f t="shared" si="16"/>
        <v>770.35593274558846</v>
      </c>
    </row>
    <row r="93" spans="1:14" x14ac:dyDescent="0.25">
      <c r="A93">
        <v>92</v>
      </c>
      <c r="B93" s="3">
        <v>43678</v>
      </c>
      <c r="C93" s="2">
        <v>10363.700000000001</v>
      </c>
      <c r="D93">
        <f t="shared" si="10"/>
        <v>10499.889044889071</v>
      </c>
      <c r="E93" s="6">
        <f t="shared" si="11"/>
        <v>28.920608665956255</v>
      </c>
      <c r="F93" s="36">
        <f t="shared" si="12"/>
        <v>0.99130572862263855</v>
      </c>
      <c r="G93">
        <f t="shared" si="13"/>
        <v>10455.950411996822</v>
      </c>
      <c r="L93" s="6">
        <f t="shared" si="14"/>
        <v>-92.25041199682164</v>
      </c>
      <c r="M93">
        <f t="shared" si="15"/>
        <v>92.25041199682164</v>
      </c>
      <c r="N93">
        <f t="shared" si="16"/>
        <v>8510.1385135833334</v>
      </c>
    </row>
    <row r="94" spans="1:14" x14ac:dyDescent="0.25">
      <c r="A94">
        <v>93</v>
      </c>
      <c r="B94" s="3">
        <v>43709</v>
      </c>
      <c r="C94" s="2">
        <v>10307.9</v>
      </c>
      <c r="D94">
        <f t="shared" si="10"/>
        <v>10530.999649565889</v>
      </c>
      <c r="E94" s="6">
        <f t="shared" si="11"/>
        <v>28.927485296173764</v>
      </c>
      <c r="F94" s="36">
        <f t="shared" si="12"/>
        <v>0.97807080411598846</v>
      </c>
      <c r="G94">
        <f t="shared" si="13"/>
        <v>10291.798961010674</v>
      </c>
      <c r="L94" s="6">
        <f t="shared" si="14"/>
        <v>16.101038989325389</v>
      </c>
      <c r="M94">
        <f t="shared" si="15"/>
        <v>16.101038989325389</v>
      </c>
      <c r="N94">
        <f t="shared" si="16"/>
        <v>259.24345653577632</v>
      </c>
    </row>
    <row r="95" spans="1:14" x14ac:dyDescent="0.25">
      <c r="A95">
        <v>94</v>
      </c>
      <c r="B95" s="3">
        <v>43739</v>
      </c>
      <c r="C95" s="2">
        <v>10710.9</v>
      </c>
      <c r="D95">
        <f t="shared" si="10"/>
        <v>10539.726186808844</v>
      </c>
      <c r="E95" s="6">
        <f t="shared" si="11"/>
        <v>28.864053925013238</v>
      </c>
      <c r="F95" s="36">
        <f t="shared" si="12"/>
        <v>1.0234615290681703</v>
      </c>
      <c r="G95">
        <f t="shared" si="13"/>
        <v>10867.261382387003</v>
      </c>
      <c r="L95" s="6">
        <f t="shared" si="14"/>
        <v>-156.36138238700369</v>
      </c>
      <c r="M95">
        <f t="shared" si="15"/>
        <v>156.36138238700369</v>
      </c>
      <c r="N95">
        <f t="shared" si="16"/>
        <v>24448.881901974786</v>
      </c>
    </row>
    <row r="96" spans="1:14" x14ac:dyDescent="0.25">
      <c r="A96">
        <v>95</v>
      </c>
      <c r="B96" s="3">
        <v>43770</v>
      </c>
      <c r="C96" s="2">
        <v>10780.7</v>
      </c>
      <c r="D96">
        <f t="shared" si="10"/>
        <v>10569.190407411912</v>
      </c>
      <c r="E96" s="6">
        <f t="shared" si="11"/>
        <v>28.865938460096121</v>
      </c>
      <c r="F96" s="36">
        <f t="shared" si="12"/>
        <v>1.0197999416223058</v>
      </c>
      <c r="G96">
        <f t="shared" si="13"/>
        <v>10776.097276561832</v>
      </c>
      <c r="L96" s="6">
        <f t="shared" si="14"/>
        <v>4.6027234381690505</v>
      </c>
      <c r="M96">
        <f t="shared" si="15"/>
        <v>4.6027234381690505</v>
      </c>
      <c r="N96">
        <f t="shared" si="16"/>
        <v>21.185063048270724</v>
      </c>
    </row>
    <row r="97" spans="1:14" x14ac:dyDescent="0.25">
      <c r="A97">
        <v>96</v>
      </c>
      <c r="B97" s="3">
        <v>43800</v>
      </c>
      <c r="C97" s="2">
        <v>12552.1</v>
      </c>
      <c r="D97">
        <f t="shared" si="10"/>
        <v>10604.989697314115</v>
      </c>
      <c r="E97" s="6">
        <f t="shared" si="11"/>
        <v>28.887709318946509</v>
      </c>
      <c r="F97" s="36">
        <f t="shared" si="12"/>
        <v>1.1807824423370308</v>
      </c>
      <c r="G97">
        <f t="shared" si="13"/>
        <v>12490.638917897661</v>
      </c>
      <c r="L97" s="6">
        <f t="shared" si="14"/>
        <v>61.461082102339788</v>
      </c>
      <c r="M97">
        <f t="shared" si="15"/>
        <v>61.461082102339788</v>
      </c>
      <c r="N97">
        <f t="shared" si="16"/>
        <v>3777.464613190552</v>
      </c>
    </row>
    <row r="98" spans="1:14" x14ac:dyDescent="0.25">
      <c r="A98">
        <v>97</v>
      </c>
      <c r="B98" s="3">
        <v>43831</v>
      </c>
      <c r="C98" s="2">
        <v>10713.3</v>
      </c>
      <c r="D98">
        <f t="shared" si="10"/>
        <v>10616.759750513962</v>
      </c>
      <c r="E98" s="6">
        <f t="shared" si="11"/>
        <v>28.833959544637484</v>
      </c>
      <c r="F98" s="36">
        <f t="shared" si="12"/>
        <v>1.0151125812649298</v>
      </c>
      <c r="G98">
        <f t="shared" si="13"/>
        <v>10844.600005524413</v>
      </c>
      <c r="L98" s="6">
        <f t="shared" si="14"/>
        <v>-131.30000552441379</v>
      </c>
      <c r="M98">
        <f t="shared" si="15"/>
        <v>131.30000552441379</v>
      </c>
      <c r="N98">
        <f t="shared" si="16"/>
        <v>17239.691450711092</v>
      </c>
    </row>
    <row r="99" spans="1:14" x14ac:dyDescent="0.25">
      <c r="A99">
        <v>98</v>
      </c>
      <c r="B99" s="3">
        <v>43862</v>
      </c>
      <c r="C99" s="2">
        <v>9833.2000000000007</v>
      </c>
      <c r="D99">
        <f t="shared" si="10"/>
        <v>10631.100890839305</v>
      </c>
      <c r="E99" s="6">
        <f t="shared" si="11"/>
        <v>28.788451809424281</v>
      </c>
      <c r="F99" s="36">
        <f t="shared" si="12"/>
        <v>0.92960398562376367</v>
      </c>
      <c r="G99">
        <f t="shared" si="13"/>
        <v>9934.9293640137203</v>
      </c>
      <c r="L99" s="6">
        <f t="shared" si="14"/>
        <v>-101.72936401371953</v>
      </c>
      <c r="M99">
        <f t="shared" si="15"/>
        <v>101.72936401371953</v>
      </c>
      <c r="N99">
        <f t="shared" si="16"/>
        <v>10348.863502635855</v>
      </c>
    </row>
    <row r="100" spans="1:14" x14ac:dyDescent="0.25">
      <c r="A100">
        <v>99</v>
      </c>
      <c r="B100" s="3">
        <v>43891</v>
      </c>
      <c r="C100" s="2">
        <v>11188.4</v>
      </c>
      <c r="D100">
        <f t="shared" si="10"/>
        <v>10702.500421932697</v>
      </c>
      <c r="E100" s="6">
        <f t="shared" si="11"/>
        <v>28.922251430040667</v>
      </c>
      <c r="F100" s="36">
        <f t="shared" si="12"/>
        <v>1.03054921856805</v>
      </c>
      <c r="G100">
        <f t="shared" si="13"/>
        <v>10861.8335688635</v>
      </c>
      <c r="L100" s="6">
        <f t="shared" si="14"/>
        <v>326.56643113649989</v>
      </c>
      <c r="M100">
        <f t="shared" si="15"/>
        <v>326.56643113649989</v>
      </c>
      <c r="N100">
        <f t="shared" si="16"/>
        <v>106645.63394523032</v>
      </c>
    </row>
    <row r="101" spans="1:14" x14ac:dyDescent="0.25">
      <c r="A101">
        <v>100</v>
      </c>
      <c r="B101" s="3">
        <v>43922</v>
      </c>
      <c r="C101" s="2">
        <v>10354.1</v>
      </c>
      <c r="D101">
        <f t="shared" si="10"/>
        <v>10713.001816272661</v>
      </c>
      <c r="E101" s="6">
        <f t="shared" si="11"/>
        <v>28.864409579247457</v>
      </c>
      <c r="F101" s="36">
        <f t="shared" si="12"/>
        <v>0.97265131972036989</v>
      </c>
      <c r="G101">
        <f t="shared" si="13"/>
        <v>10489.527549039884</v>
      </c>
      <c r="L101" s="6">
        <f t="shared" si="14"/>
        <v>-135.42754903988316</v>
      </c>
      <c r="M101">
        <f t="shared" si="15"/>
        <v>135.42754903988316</v>
      </c>
      <c r="N101">
        <f t="shared" si="16"/>
        <v>18340.621038949957</v>
      </c>
    </row>
    <row r="102" spans="1:14" x14ac:dyDescent="0.25">
      <c r="A102">
        <v>101</v>
      </c>
      <c r="B102" s="3">
        <v>43952</v>
      </c>
      <c r="C102" s="2">
        <v>10645.2</v>
      </c>
      <c r="D102">
        <f t="shared" si="10"/>
        <v>10759.634625284938</v>
      </c>
      <c r="E102" s="6">
        <f t="shared" si="11"/>
        <v>28.92020270026315</v>
      </c>
      <c r="F102" s="36">
        <f t="shared" si="12"/>
        <v>0.98344702056063404</v>
      </c>
      <c r="G102">
        <f t="shared" si="13"/>
        <v>10514.386946650257</v>
      </c>
      <c r="L102" s="6">
        <f t="shared" si="14"/>
        <v>130.81305334974422</v>
      </c>
      <c r="M102">
        <f t="shared" si="15"/>
        <v>130.81305334974422</v>
      </c>
      <c r="N102">
        <f t="shared" si="16"/>
        <v>17112.054926683028</v>
      </c>
    </row>
    <row r="103" spans="1:14" x14ac:dyDescent="0.25">
      <c r="A103">
        <v>102</v>
      </c>
      <c r="B103" s="3">
        <v>43983</v>
      </c>
      <c r="C103" s="2">
        <v>10268.200000000001</v>
      </c>
      <c r="D103">
        <f t="shared" si="10"/>
        <v>10804.344308818479</v>
      </c>
      <c r="E103" s="6">
        <f t="shared" si="11"/>
        <v>28.969781978251945</v>
      </c>
      <c r="F103" s="36">
        <f t="shared" si="12"/>
        <v>0.94534052453522588</v>
      </c>
      <c r="G103">
        <f t="shared" si="13"/>
        <v>10156.399712602039</v>
      </c>
      <c r="L103" s="6">
        <f t="shared" si="14"/>
        <v>111.80028739796217</v>
      </c>
      <c r="M103">
        <f t="shared" si="15"/>
        <v>111.80028739796217</v>
      </c>
      <c r="N103">
        <f t="shared" si="16"/>
        <v>12499.304262266938</v>
      </c>
    </row>
    <row r="104" spans="1:14" x14ac:dyDescent="0.25">
      <c r="A104">
        <v>103</v>
      </c>
      <c r="B104" s="3">
        <v>44013</v>
      </c>
      <c r="C104" s="2">
        <v>10604.4</v>
      </c>
      <c r="D104">
        <f t="shared" si="10"/>
        <v>10829.874319023624</v>
      </c>
      <c r="E104" s="6">
        <f t="shared" si="11"/>
        <v>28.958981027748401</v>
      </c>
      <c r="F104" s="36">
        <f t="shared" si="12"/>
        <v>0.98032123820465711</v>
      </c>
      <c r="G104">
        <f t="shared" si="13"/>
        <v>10629.78582991465</v>
      </c>
      <c r="L104" s="6">
        <f t="shared" si="14"/>
        <v>-25.385829914650458</v>
      </c>
      <c r="M104">
        <f t="shared" si="15"/>
        <v>25.385829914650458</v>
      </c>
      <c r="N104">
        <f t="shared" si="16"/>
        <v>644.44036045556209</v>
      </c>
    </row>
    <row r="105" spans="1:14" x14ac:dyDescent="0.25">
      <c r="A105">
        <v>104</v>
      </c>
      <c r="B105" s="3">
        <v>44044</v>
      </c>
      <c r="C105" s="2">
        <v>10852.2</v>
      </c>
      <c r="D105">
        <f t="shared" si="10"/>
        <v>10870.605870866095</v>
      </c>
      <c r="E105" s="6">
        <f t="shared" si="11"/>
        <v>28.995947129878605</v>
      </c>
      <c r="F105" s="36">
        <f t="shared" si="12"/>
        <v>0.99437672461358595</v>
      </c>
      <c r="G105">
        <f t="shared" si="13"/>
        <v>10764.423656499195</v>
      </c>
      <c r="L105" s="6">
        <f t="shared" si="14"/>
        <v>87.776343500805524</v>
      </c>
      <c r="M105">
        <f t="shared" si="15"/>
        <v>87.776343500805524</v>
      </c>
      <c r="N105">
        <f t="shared" si="16"/>
        <v>7704.6864783714045</v>
      </c>
    </row>
    <row r="106" spans="1:14" x14ac:dyDescent="0.25">
      <c r="A106">
        <v>105</v>
      </c>
      <c r="B106" s="3">
        <v>44075</v>
      </c>
      <c r="C106" s="2">
        <v>10713.8</v>
      </c>
      <c r="D106">
        <f t="shared" si="10"/>
        <v>10906.835961639179</v>
      </c>
      <c r="E106" s="6">
        <f t="shared" si="11"/>
        <v>29.018662482111178</v>
      </c>
      <c r="F106" s="36">
        <f t="shared" si="12"/>
        <v>0.97992652525061941</v>
      </c>
      <c r="G106">
        <f t="shared" si="13"/>
        <v>10660.582314671412</v>
      </c>
      <c r="L106" s="6">
        <f t="shared" si="14"/>
        <v>53.217685328587322</v>
      </c>
      <c r="M106">
        <f t="shared" si="15"/>
        <v>53.217685328587322</v>
      </c>
      <c r="N106">
        <f t="shared" si="16"/>
        <v>2832.1220317325383</v>
      </c>
    </row>
    <row r="107" spans="1:14" x14ac:dyDescent="0.25">
      <c r="A107">
        <v>106</v>
      </c>
      <c r="B107" s="3">
        <v>44105</v>
      </c>
      <c r="C107" s="2">
        <v>11126.1</v>
      </c>
      <c r="D107">
        <f t="shared" si="10"/>
        <v>10927.238400361566</v>
      </c>
      <c r="E107" s="6">
        <f t="shared" si="11"/>
        <v>28.991607371337896</v>
      </c>
      <c r="F107" s="36">
        <f t="shared" si="12"/>
        <v>1.0211530170204297</v>
      </c>
      <c r="G107">
        <f t="shared" si="13"/>
        <v>11192.426495270396</v>
      </c>
      <c r="L107" s="6">
        <f t="shared" si="14"/>
        <v>-66.326495270395753</v>
      </c>
      <c r="M107">
        <f t="shared" si="15"/>
        <v>66.326495270395753</v>
      </c>
      <c r="N107">
        <f t="shared" si="16"/>
        <v>4399.20397485383</v>
      </c>
    </row>
    <row r="108" spans="1:14" x14ac:dyDescent="0.25">
      <c r="A108">
        <v>107</v>
      </c>
      <c r="B108" s="3">
        <v>44136</v>
      </c>
      <c r="C108" s="2">
        <v>11214.7</v>
      </c>
      <c r="D108">
        <f t="shared" si="10"/>
        <v>10961.645332277374</v>
      </c>
      <c r="E108" s="6">
        <f t="shared" si="11"/>
        <v>29.008611596101506</v>
      </c>
      <c r="F108" s="36">
        <f t="shared" si="12"/>
        <v>1.0212411202002407</v>
      </c>
      <c r="G108">
        <f t="shared" si="13"/>
        <v>11173.16272228657</v>
      </c>
      <c r="L108" s="6">
        <f t="shared" si="14"/>
        <v>41.53727771343074</v>
      </c>
      <c r="M108">
        <f t="shared" si="15"/>
        <v>41.53727771343074</v>
      </c>
      <c r="N108">
        <f t="shared" si="16"/>
        <v>1725.34543984267</v>
      </c>
    </row>
    <row r="109" spans="1:14" x14ac:dyDescent="0.25">
      <c r="A109">
        <v>108</v>
      </c>
      <c r="B109" s="3">
        <v>44166</v>
      </c>
      <c r="C109" s="2">
        <v>13037.6</v>
      </c>
      <c r="D109">
        <f t="shared" si="10"/>
        <v>10997.413079613114</v>
      </c>
      <c r="E109" s="6">
        <f t="shared" si="11"/>
        <v>29.029835414245877</v>
      </c>
      <c r="F109" s="36">
        <f t="shared" si="12"/>
        <v>1.1828584291429731</v>
      </c>
      <c r="G109">
        <f t="shared" si="13"/>
        <v>12977.571206728044</v>
      </c>
      <c r="L109" s="6">
        <f t="shared" si="14"/>
        <v>60.028793271956602</v>
      </c>
      <c r="M109">
        <f t="shared" si="15"/>
        <v>60.028793271956602</v>
      </c>
      <c r="N109">
        <f t="shared" si="16"/>
        <v>3603.4560216873019</v>
      </c>
    </row>
    <row r="110" spans="1:14" x14ac:dyDescent="0.25">
      <c r="A110">
        <v>109</v>
      </c>
      <c r="B110" s="3">
        <v>44197</v>
      </c>
      <c r="C110" s="2">
        <v>11253.8</v>
      </c>
      <c r="D110">
        <f t="shared" si="10"/>
        <v>11034.39557373969</v>
      </c>
      <c r="E110" s="6">
        <f t="shared" si="11"/>
        <v>29.054806917819167</v>
      </c>
      <c r="F110" s="36">
        <f t="shared" si="12"/>
        <v>1.0172054022370864</v>
      </c>
      <c r="G110">
        <f t="shared" si="13"/>
        <v>11193.080929643818</v>
      </c>
      <c r="L110" s="6">
        <f t="shared" si="14"/>
        <v>60.719070356180964</v>
      </c>
      <c r="M110">
        <f t="shared" si="15"/>
        <v>60.719070356180964</v>
      </c>
      <c r="N110">
        <f t="shared" si="16"/>
        <v>3686.8055049188538</v>
      </c>
    </row>
    <row r="111" spans="1:14" x14ac:dyDescent="0.25">
      <c r="A111">
        <v>110</v>
      </c>
      <c r="B111" s="3">
        <v>44228</v>
      </c>
      <c r="C111" s="2">
        <v>10308.6</v>
      </c>
      <c r="D111">
        <f t="shared" si="10"/>
        <v>11066.878970618756</v>
      </c>
      <c r="E111" s="6">
        <f t="shared" si="11"/>
        <v>29.065572757215225</v>
      </c>
      <c r="F111" s="36">
        <f t="shared" si="12"/>
        <v>0.93042782479570707</v>
      </c>
      <c r="G111">
        <f t="shared" si="13"/>
        <v>10284.627568609965</v>
      </c>
      <c r="L111" s="6">
        <f t="shared" si="14"/>
        <v>23.972431390035126</v>
      </c>
      <c r="M111">
        <f t="shared" si="15"/>
        <v>23.972431390035126</v>
      </c>
      <c r="N111">
        <f t="shared" si="16"/>
        <v>574.67746674994146</v>
      </c>
    </row>
    <row r="112" spans="1:14" x14ac:dyDescent="0.25">
      <c r="A112">
        <v>111</v>
      </c>
      <c r="B112" s="3">
        <v>44256</v>
      </c>
      <c r="C112" s="2">
        <v>11405.1</v>
      </c>
      <c r="D112">
        <f t="shared" si="10"/>
        <v>11092.097772360619</v>
      </c>
      <c r="E112" s="6">
        <f t="shared" si="11"/>
        <v>29.053493821147395</v>
      </c>
      <c r="F112" s="36">
        <f t="shared" si="12"/>
        <v>1.0295268547846554</v>
      </c>
      <c r="G112">
        <f t="shared" si="13"/>
        <v>11434.916978450527</v>
      </c>
      <c r="L112" s="6">
        <f t="shared" si="14"/>
        <v>-29.816978450526221</v>
      </c>
      <c r="M112">
        <f t="shared" si="15"/>
        <v>29.816978450526221</v>
      </c>
      <c r="N112">
        <f t="shared" si="16"/>
        <v>889.05220391914509</v>
      </c>
    </row>
    <row r="113" spans="1:14" x14ac:dyDescent="0.25">
      <c r="A113">
        <v>112</v>
      </c>
      <c r="B113" s="3">
        <v>44287</v>
      </c>
      <c r="C113" s="2">
        <v>10964.8</v>
      </c>
      <c r="D113">
        <f t="shared" si="10"/>
        <v>11141.354062216071</v>
      </c>
      <c r="E113" s="6">
        <f t="shared" si="11"/>
        <v>29.116930995004598</v>
      </c>
      <c r="F113" s="36">
        <f t="shared" si="12"/>
        <v>0.97769659370722739</v>
      </c>
      <c r="G113">
        <f t="shared" si="13"/>
        <v>10817.002455861559</v>
      </c>
      <c r="L113" s="6">
        <f t="shared" si="14"/>
        <v>147.79754413844057</v>
      </c>
      <c r="M113">
        <f t="shared" si="15"/>
        <v>147.79754413844057</v>
      </c>
      <c r="N113">
        <f t="shared" si="16"/>
        <v>21844.114053354289</v>
      </c>
    </row>
    <row r="114" spans="1:14" x14ac:dyDescent="0.25">
      <c r="A114">
        <v>113</v>
      </c>
      <c r="B114" s="3">
        <v>44317</v>
      </c>
      <c r="C114" s="2">
        <v>11024.2</v>
      </c>
      <c r="D114">
        <f t="shared" si="10"/>
        <v>11175.693938374243</v>
      </c>
      <c r="E114" s="6">
        <f t="shared" si="11"/>
        <v>29.133331144756141</v>
      </c>
      <c r="F114" s="36">
        <f t="shared" si="12"/>
        <v>0.98476177912247209</v>
      </c>
      <c r="G114">
        <f t="shared" si="13"/>
        <v>10985.566416532418</v>
      </c>
      <c r="L114" s="6">
        <f t="shared" si="14"/>
        <v>38.633583467582866</v>
      </c>
      <c r="M114">
        <f t="shared" si="15"/>
        <v>38.633583467582866</v>
      </c>
      <c r="N114">
        <f t="shared" si="16"/>
        <v>1492.5537715466921</v>
      </c>
    </row>
    <row r="115" spans="1:14" x14ac:dyDescent="0.25">
      <c r="A115">
        <v>114</v>
      </c>
      <c r="B115" s="3">
        <v>44348</v>
      </c>
      <c r="C115" s="2">
        <v>10587.6</v>
      </c>
      <c r="D115">
        <f t="shared" si="10"/>
        <v>11204.155385027498</v>
      </c>
      <c r="E115" s="6">
        <f t="shared" si="11"/>
        <v>29.131221414339276</v>
      </c>
      <c r="F115" s="36">
        <f t="shared" si="12"/>
        <v>0.94517835926832561</v>
      </c>
      <c r="G115">
        <f t="shared" si="13"/>
        <v>10592.377288293694</v>
      </c>
      <c r="L115" s="6">
        <f t="shared" si="14"/>
        <v>-4.7772882936933456</v>
      </c>
      <c r="M115">
        <f t="shared" si="15"/>
        <v>4.7772882936933456</v>
      </c>
      <c r="N115">
        <f t="shared" si="16"/>
        <v>22.822483441059479</v>
      </c>
    </row>
    <row r="116" spans="1:14" x14ac:dyDescent="0.25">
      <c r="A116">
        <v>115</v>
      </c>
      <c r="B116" s="3">
        <v>44378</v>
      </c>
      <c r="C116" s="2">
        <v>10949.7</v>
      </c>
      <c r="D116">
        <f t="shared" si="10"/>
        <v>11224.806183038705</v>
      </c>
      <c r="E116" s="6">
        <f t="shared" si="11"/>
        <v>29.104592719336186</v>
      </c>
      <c r="F116" s="36">
        <f t="shared" si="12"/>
        <v>0.97820257868543514</v>
      </c>
      <c r="G116">
        <f t="shared" si="13"/>
        <v>11012.229435134854</v>
      </c>
      <c r="L116" s="6">
        <f t="shared" si="14"/>
        <v>-62.529435134852974</v>
      </c>
      <c r="M116">
        <f t="shared" si="15"/>
        <v>62.529435134852974</v>
      </c>
      <c r="N116">
        <f t="shared" si="16"/>
        <v>3909.9302582837854</v>
      </c>
    </row>
    <row r="117" spans="1:14" x14ac:dyDescent="0.25">
      <c r="A117">
        <v>116</v>
      </c>
      <c r="B117" s="3">
        <v>44409</v>
      </c>
      <c r="C117" s="2">
        <v>11294.6</v>
      </c>
      <c r="D117">
        <f t="shared" si="10"/>
        <v>11267.812585257851</v>
      </c>
      <c r="E117" s="6">
        <f t="shared" si="11"/>
        <v>29.148244672495128</v>
      </c>
      <c r="F117" s="36">
        <f t="shared" si="12"/>
        <v>0.99788615587559903</v>
      </c>
      <c r="G117">
        <f t="shared" si="13"/>
        <v>11190.626936291821</v>
      </c>
      <c r="L117" s="6">
        <f t="shared" si="14"/>
        <v>103.97306370817932</v>
      </c>
      <c r="M117">
        <f t="shared" si="15"/>
        <v>103.97306370817932</v>
      </c>
      <c r="N117">
        <f t="shared" si="16"/>
        <v>10810.397976865117</v>
      </c>
    </row>
    <row r="118" spans="1:14" x14ac:dyDescent="0.25">
      <c r="A118">
        <v>117</v>
      </c>
      <c r="B118" s="3">
        <v>44440</v>
      </c>
      <c r="C118" s="2">
        <v>10946.6</v>
      </c>
      <c r="D118">
        <f t="shared" si="10"/>
        <v>11280.192230729564</v>
      </c>
      <c r="E118" s="6">
        <f t="shared" si="11"/>
        <v>29.095590943722364</v>
      </c>
      <c r="F118" s="36">
        <f t="shared" si="12"/>
        <v>0.97575948333051166</v>
      </c>
      <c r="G118">
        <f t="shared" si="13"/>
        <v>11070.191571965997</v>
      </c>
      <c r="L118" s="6">
        <f t="shared" si="14"/>
        <v>-123.59157196599699</v>
      </c>
      <c r="M118">
        <f t="shared" si="15"/>
        <v>123.59157196599699</v>
      </c>
      <c r="N118">
        <f t="shared" si="16"/>
        <v>15274.876661026214</v>
      </c>
    </row>
    <row r="119" spans="1:14" x14ac:dyDescent="0.25">
      <c r="A119">
        <v>118</v>
      </c>
      <c r="B119" s="3">
        <v>44470</v>
      </c>
      <c r="C119" s="2">
        <v>11565.4</v>
      </c>
      <c r="D119">
        <f t="shared" si="10"/>
        <v>11311.486457809844</v>
      </c>
      <c r="E119" s="6">
        <f t="shared" si="11"/>
        <v>29.102494704103187</v>
      </c>
      <c r="F119" s="36">
        <f t="shared" si="12"/>
        <v>1.021720795044085</v>
      </c>
      <c r="G119">
        <f t="shared" si="13"/>
        <v>11548.51337945408</v>
      </c>
      <c r="L119" s="6">
        <f t="shared" si="14"/>
        <v>16.886620545919868</v>
      </c>
      <c r="M119">
        <f t="shared" si="15"/>
        <v>16.886620545919868</v>
      </c>
      <c r="N119">
        <f t="shared" si="16"/>
        <v>285.15795346188304</v>
      </c>
    </row>
    <row r="120" spans="1:14" x14ac:dyDescent="0.25">
      <c r="A120">
        <v>119</v>
      </c>
      <c r="B120" s="3">
        <v>44501</v>
      </c>
      <c r="C120" s="2">
        <v>11643.3</v>
      </c>
      <c r="D120">
        <f t="shared" si="10"/>
        <v>11348.637766592394</v>
      </c>
      <c r="E120" s="6">
        <f t="shared" si="11"/>
        <v>29.127768137402803</v>
      </c>
      <c r="F120" s="36">
        <f t="shared" si="12"/>
        <v>1.0233130284848735</v>
      </c>
      <c r="G120">
        <f t="shared" si="13"/>
        <v>11581.475765595816</v>
      </c>
      <c r="L120" s="6">
        <f t="shared" si="14"/>
        <v>61.824234404182789</v>
      </c>
      <c r="M120">
        <f t="shared" si="15"/>
        <v>61.824234404182789</v>
      </c>
      <c r="N120">
        <f t="shared" si="16"/>
        <v>3822.2359596633387</v>
      </c>
    </row>
    <row r="121" spans="1:14" x14ac:dyDescent="0.25">
      <c r="A121">
        <v>120</v>
      </c>
      <c r="B121" s="3">
        <v>44531</v>
      </c>
      <c r="C121" s="2">
        <v>13292.7</v>
      </c>
      <c r="D121">
        <f t="shared" si="10"/>
        <v>11359.153582004843</v>
      </c>
      <c r="E121" s="6">
        <f t="shared" si="11"/>
        <v>29.069326242586357</v>
      </c>
      <c r="F121" s="36">
        <f t="shared" si="12"/>
        <v>1.1773143067350866</v>
      </c>
      <c r="G121">
        <f t="shared" si="13"/>
        <v>13458.285867567547</v>
      </c>
      <c r="L121" s="6">
        <f t="shared" si="14"/>
        <v>-165.5858675675463</v>
      </c>
      <c r="M121">
        <f t="shared" si="15"/>
        <v>165.5858675675463</v>
      </c>
      <c r="N121">
        <f t="shared" si="16"/>
        <v>27418.679538096982</v>
      </c>
    </row>
    <row r="122" spans="1:14" x14ac:dyDescent="0.25">
      <c r="A122">
        <v>121</v>
      </c>
      <c r="B122" s="3">
        <v>44562</v>
      </c>
      <c r="C122" s="2"/>
      <c r="G122">
        <f>($D$121+H122*$E$121)*F110</f>
        <v>11584.16186414943</v>
      </c>
      <c r="H122">
        <v>1</v>
      </c>
      <c r="M122">
        <f>AVERAGE(M14:M121)</f>
        <v>94.061185391577482</v>
      </c>
      <c r="N122">
        <f>AVERAGE(N14:N121)</f>
        <v>14590.706247445572</v>
      </c>
    </row>
    <row r="123" spans="1:14" x14ac:dyDescent="0.25">
      <c r="A123">
        <v>122</v>
      </c>
      <c r="B123" s="3">
        <v>44593</v>
      </c>
      <c r="C123" s="2"/>
      <c r="G123">
        <f t="shared" ref="G123:G133" si="17">($D$121+H123*$E$121)*F111</f>
        <v>10622.966378793464</v>
      </c>
      <c r="H123">
        <v>2</v>
      </c>
      <c r="M123" s="11" t="s">
        <v>4</v>
      </c>
      <c r="N123" s="11" t="s">
        <v>5</v>
      </c>
    </row>
    <row r="124" spans="1:14" x14ac:dyDescent="0.25">
      <c r="A124">
        <v>123</v>
      </c>
      <c r="B124" s="3">
        <v>44621</v>
      </c>
      <c r="C124" s="2"/>
      <c r="G124">
        <f t="shared" si="17"/>
        <v>11784.336616349017</v>
      </c>
      <c r="H124">
        <v>3</v>
      </c>
    </row>
    <row r="125" spans="1:14" x14ac:dyDescent="0.25">
      <c r="A125">
        <v>124</v>
      </c>
      <c r="B125" s="3">
        <v>44652</v>
      </c>
      <c r="C125" s="2"/>
      <c r="G125">
        <f t="shared" si="17"/>
        <v>11219.489689518348</v>
      </c>
      <c r="H125">
        <v>4</v>
      </c>
      <c r="N125" s="11" t="s">
        <v>6</v>
      </c>
    </row>
    <row r="126" spans="1:14" x14ac:dyDescent="0.25">
      <c r="A126">
        <v>125</v>
      </c>
      <c r="B126" s="3">
        <v>44682</v>
      </c>
      <c r="C126" s="2"/>
      <c r="G126">
        <f t="shared" si="17"/>
        <v>11329.192097883195</v>
      </c>
      <c r="H126">
        <v>5</v>
      </c>
    </row>
    <row r="127" spans="1:14" x14ac:dyDescent="0.25">
      <c r="A127">
        <v>126</v>
      </c>
      <c r="B127" s="3">
        <v>44713</v>
      </c>
      <c r="C127" s="2"/>
      <c r="G127">
        <f t="shared" si="17"/>
        <v>10901.280333814282</v>
      </c>
      <c r="H127">
        <v>6</v>
      </c>
    </row>
    <row r="128" spans="1:14" x14ac:dyDescent="0.25">
      <c r="A128">
        <v>127</v>
      </c>
      <c r="B128" s="3">
        <v>44743</v>
      </c>
      <c r="G128">
        <f t="shared" si="17"/>
        <v>11310.603154839058</v>
      </c>
      <c r="H128">
        <v>7</v>
      </c>
    </row>
    <row r="129" spans="1:8" x14ac:dyDescent="0.25">
      <c r="A129">
        <v>128</v>
      </c>
      <c r="B129" s="3">
        <v>44774</v>
      </c>
      <c r="G129">
        <f t="shared" si="17"/>
        <v>11567.205127692219</v>
      </c>
      <c r="H129">
        <v>8</v>
      </c>
    </row>
    <row r="130" spans="1:8" x14ac:dyDescent="0.25">
      <c r="A130">
        <v>129</v>
      </c>
      <c r="B130" s="3">
        <v>44805</v>
      </c>
      <c r="G130">
        <f t="shared" si="17"/>
        <v>11339.083867046065</v>
      </c>
      <c r="H130">
        <v>9</v>
      </c>
    </row>
    <row r="131" spans="1:8" x14ac:dyDescent="0.25">
      <c r="A131">
        <v>130</v>
      </c>
      <c r="B131" s="3">
        <v>44835</v>
      </c>
      <c r="G131">
        <f t="shared" si="17"/>
        <v>11902.890780033567</v>
      </c>
      <c r="H131">
        <v>10</v>
      </c>
    </row>
    <row r="132" spans="1:8" x14ac:dyDescent="0.25">
      <c r="A132">
        <v>131</v>
      </c>
      <c r="B132" s="3">
        <v>44866</v>
      </c>
      <c r="G132">
        <f t="shared" si="17"/>
        <v>11951.187076032647</v>
      </c>
      <c r="H132">
        <v>11</v>
      </c>
    </row>
    <row r="133" spans="1:8" x14ac:dyDescent="0.25">
      <c r="A133">
        <v>132</v>
      </c>
      <c r="B133" s="3">
        <v>44896</v>
      </c>
      <c r="G133">
        <f t="shared" si="17"/>
        <v>13783.978828565967</v>
      </c>
      <c r="H133">
        <v>12</v>
      </c>
    </row>
    <row r="134" spans="1:8" x14ac:dyDescent="0.25">
      <c r="B134" s="3"/>
    </row>
    <row r="135" spans="1:8" x14ac:dyDescent="0.25">
      <c r="B135" s="3"/>
    </row>
    <row r="136" spans="1:8" x14ac:dyDescent="0.25">
      <c r="B136" s="3"/>
    </row>
    <row r="137" spans="1:8" x14ac:dyDescent="0.25">
      <c r="B137" s="3"/>
    </row>
    <row r="138" spans="1:8" x14ac:dyDescent="0.25">
      <c r="B138" s="3"/>
    </row>
    <row r="139" spans="1:8" x14ac:dyDescent="0.25">
      <c r="B139" s="3"/>
    </row>
    <row r="140" spans="1:8" x14ac:dyDescent="0.25">
      <c r="B140" s="3"/>
    </row>
    <row r="141" spans="1:8" x14ac:dyDescent="0.25">
      <c r="B141" s="3"/>
    </row>
    <row r="142" spans="1:8" x14ac:dyDescent="0.25">
      <c r="B142" s="3"/>
    </row>
    <row r="143" spans="1:8" x14ac:dyDescent="0.25">
      <c r="B143" s="3"/>
    </row>
    <row r="144" spans="1:8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tabSelected="1" topLeftCell="A46" workbookViewId="0">
      <selection activeCell="L51" sqref="L51"/>
    </sheetView>
  </sheetViews>
  <sheetFormatPr defaultRowHeight="15" x14ac:dyDescent="0.25"/>
  <cols>
    <col min="4" max="4" width="11.85546875" bestFit="1" customWidth="1"/>
    <col min="5" max="5" width="11.42578125" customWidth="1"/>
    <col min="6" max="6" width="14.5703125" customWidth="1"/>
    <col min="7" max="8" width="11.85546875" bestFit="1" customWidth="1"/>
    <col min="9" max="9" width="2.85546875" customWidth="1"/>
    <col min="10" max="10" width="15" bestFit="1" customWidth="1"/>
    <col min="11" max="11" width="11.85546875" bestFit="1" customWidth="1"/>
    <col min="12" max="12" width="12.42578125" bestFit="1" customWidth="1"/>
    <col min="13" max="15" width="11.85546875" bestFit="1" customWidth="1"/>
  </cols>
  <sheetData>
    <row r="1" spans="1:15" x14ac:dyDescent="0.25">
      <c r="A1" s="17" t="s">
        <v>7</v>
      </c>
      <c r="B1" s="17" t="s">
        <v>3</v>
      </c>
      <c r="C1" s="17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/>
      <c r="J1" s="18" t="s">
        <v>30</v>
      </c>
      <c r="K1" s="18" t="s">
        <v>31</v>
      </c>
      <c r="L1" s="18" t="s">
        <v>32</v>
      </c>
      <c r="M1" s="18" t="s">
        <v>33</v>
      </c>
      <c r="N1" s="18" t="s">
        <v>13</v>
      </c>
      <c r="O1" s="18"/>
    </row>
    <row r="2" spans="1:15" x14ac:dyDescent="0.25">
      <c r="A2">
        <v>1</v>
      </c>
      <c r="B2" s="19">
        <v>43040</v>
      </c>
      <c r="C2" s="20">
        <v>2837.3</v>
      </c>
      <c r="H2" s="6">
        <f>C2/$G$14</f>
        <v>2828.3993709135589</v>
      </c>
      <c r="I2" s="6"/>
      <c r="J2">
        <f xml:space="preserve"> 13.629*A2 + 2760.9</f>
        <v>2774.529</v>
      </c>
      <c r="K2" s="37"/>
      <c r="L2" s="6">
        <f>C2-K2</f>
        <v>2837.3</v>
      </c>
      <c r="M2" s="6">
        <f>ABS(L2)</f>
        <v>2837.3</v>
      </c>
      <c r="N2" s="6">
        <f>M2^2</f>
        <v>8050271.290000001</v>
      </c>
      <c r="O2" s="22"/>
    </row>
    <row r="3" spans="1:15" x14ac:dyDescent="0.25">
      <c r="A3">
        <v>2</v>
      </c>
      <c r="B3" s="19">
        <v>43070</v>
      </c>
      <c r="C3" s="20">
        <v>3189.9</v>
      </c>
      <c r="H3" s="6">
        <f>C3/$G$15</f>
        <v>2882.5192380380417</v>
      </c>
      <c r="I3" s="6"/>
      <c r="J3">
        <f t="shared" ref="J3:J61" si="0" xml:space="preserve"> 13.629*A3 + 2760.9</f>
        <v>2788.1579999999999</v>
      </c>
      <c r="K3" s="37"/>
      <c r="L3" s="6">
        <f t="shared" ref="L3:L50" si="1">C3-K3</f>
        <v>3189.9</v>
      </c>
      <c r="M3" s="6">
        <f t="shared" ref="M3:M49" si="2">ABS(L3)</f>
        <v>3189.9</v>
      </c>
      <c r="N3" s="6">
        <f t="shared" ref="N3:N49" si="3">M3^2</f>
        <v>10175462.01</v>
      </c>
      <c r="O3" s="22"/>
    </row>
    <row r="4" spans="1:15" x14ac:dyDescent="0.25">
      <c r="A4">
        <v>3</v>
      </c>
      <c r="B4" s="19">
        <v>43101</v>
      </c>
      <c r="C4" s="20">
        <v>2768.8</v>
      </c>
      <c r="H4" s="6">
        <f>C4/$G$16</f>
        <v>2664.0183981627747</v>
      </c>
      <c r="I4" s="6"/>
      <c r="J4">
        <f t="shared" si="0"/>
        <v>2801.7870000000003</v>
      </c>
      <c r="K4" s="37"/>
      <c r="L4" s="6">
        <f t="shared" si="1"/>
        <v>2768.8</v>
      </c>
      <c r="M4" s="6">
        <f t="shared" si="2"/>
        <v>2768.8</v>
      </c>
      <c r="N4" s="6">
        <f t="shared" si="3"/>
        <v>7666253.4400000013</v>
      </c>
      <c r="O4" s="22"/>
    </row>
    <row r="5" spans="1:15" x14ac:dyDescent="0.25">
      <c r="A5">
        <v>4</v>
      </c>
      <c r="B5" s="19">
        <v>43132</v>
      </c>
      <c r="C5" s="20">
        <v>2761.1</v>
      </c>
      <c r="H5" s="6">
        <f>C5/$G$17</f>
        <v>2953.6445860510221</v>
      </c>
      <c r="I5" s="6"/>
      <c r="J5">
        <f t="shared" si="0"/>
        <v>2815.4160000000002</v>
      </c>
      <c r="K5" s="37"/>
      <c r="L5" s="6">
        <f t="shared" si="1"/>
        <v>2761.1</v>
      </c>
      <c r="M5" s="6">
        <f t="shared" si="2"/>
        <v>2761.1</v>
      </c>
      <c r="N5" s="6">
        <f t="shared" si="3"/>
        <v>7623673.21</v>
      </c>
      <c r="O5" s="22"/>
    </row>
    <row r="6" spans="1:15" x14ac:dyDescent="0.25">
      <c r="A6">
        <v>5</v>
      </c>
      <c r="B6" s="19">
        <v>43160</v>
      </c>
      <c r="C6" s="20">
        <v>2872.3</v>
      </c>
      <c r="H6" s="6">
        <f>C6/$G$18</f>
        <v>2831.1762865333139</v>
      </c>
      <c r="I6" s="6"/>
      <c r="J6">
        <f t="shared" si="0"/>
        <v>2829.0450000000001</v>
      </c>
      <c r="K6" s="37"/>
      <c r="L6" s="6">
        <f t="shared" si="1"/>
        <v>2872.3</v>
      </c>
      <c r="M6" s="6">
        <f t="shared" si="2"/>
        <v>2872.3</v>
      </c>
      <c r="N6" s="6">
        <f t="shared" si="3"/>
        <v>8250107.290000001</v>
      </c>
      <c r="O6" s="22"/>
    </row>
    <row r="7" spans="1:15" x14ac:dyDescent="0.25">
      <c r="A7">
        <v>6</v>
      </c>
      <c r="B7" s="19">
        <v>43191</v>
      </c>
      <c r="C7" s="20">
        <v>2752.5</v>
      </c>
      <c r="D7" s="6">
        <f>AVERAGE(C2:C13)</f>
        <v>2869.4500000000003</v>
      </c>
      <c r="H7" s="6">
        <f>C7/$G$19</f>
        <v>2822.0672501975318</v>
      </c>
      <c r="I7" s="6"/>
      <c r="J7">
        <f t="shared" si="0"/>
        <v>2842.674</v>
      </c>
      <c r="K7" s="37"/>
      <c r="L7" s="6">
        <f t="shared" si="1"/>
        <v>2752.5</v>
      </c>
      <c r="M7" s="6">
        <f t="shared" si="2"/>
        <v>2752.5</v>
      </c>
      <c r="N7" s="6">
        <f t="shared" si="3"/>
        <v>7576256.25</v>
      </c>
      <c r="O7" s="22"/>
    </row>
    <row r="8" spans="1:15" x14ac:dyDescent="0.25">
      <c r="A8">
        <v>7</v>
      </c>
      <c r="B8" s="19">
        <v>43221</v>
      </c>
      <c r="C8" s="20">
        <v>2912.4</v>
      </c>
      <c r="D8" s="6">
        <f>AVERAGE(C3:C14)</f>
        <v>2883.5083333333337</v>
      </c>
      <c r="E8" s="6">
        <f>AVERAGE(D7:D8)</f>
        <v>2876.479166666667</v>
      </c>
      <c r="F8" s="5">
        <f>C8/E8</f>
        <v>1.0124877780272468</v>
      </c>
      <c r="G8" s="23">
        <f>AVERAGE(F8,F20,F32)</f>
        <v>1.0080724478949381</v>
      </c>
      <c r="H8" s="6">
        <f>C8/$G$8</f>
        <v>2889.0780678330098</v>
      </c>
      <c r="I8" s="6"/>
      <c r="J8">
        <f t="shared" si="0"/>
        <v>2856.3029999999999</v>
      </c>
      <c r="K8" s="37"/>
      <c r="L8" s="6">
        <f t="shared" si="1"/>
        <v>2912.4</v>
      </c>
      <c r="M8" s="6">
        <f t="shared" si="2"/>
        <v>2912.4</v>
      </c>
      <c r="N8" s="6">
        <f t="shared" si="3"/>
        <v>8482073.7599999998</v>
      </c>
      <c r="O8" s="22"/>
    </row>
    <row r="9" spans="1:15" x14ac:dyDescent="0.25">
      <c r="A9">
        <v>8</v>
      </c>
      <c r="B9" s="19">
        <v>43252</v>
      </c>
      <c r="C9" s="20">
        <v>2740.6</v>
      </c>
      <c r="D9" s="6">
        <f t="shared" ref="D9:D42" si="4">AVERAGE(C4:C15)</f>
        <v>2887.5583333333329</v>
      </c>
      <c r="E9" s="6">
        <f t="shared" ref="E9:E43" si="5">AVERAGE(D8:D9)</f>
        <v>2885.5333333333333</v>
      </c>
      <c r="F9" s="5">
        <f t="shared" ref="F9:F43" si="6">C9/E9</f>
        <v>0.94977242797403139</v>
      </c>
      <c r="G9" s="23">
        <f>AVERAGE(F9,F21,F33)</f>
        <v>0.94286858016654806</v>
      </c>
      <c r="H9" s="6">
        <f>C9/$G$9</f>
        <v>2906.6617104961765</v>
      </c>
      <c r="I9" s="6"/>
      <c r="J9">
        <f t="shared" si="0"/>
        <v>2869.9320000000002</v>
      </c>
      <c r="K9" s="37"/>
      <c r="L9" s="6">
        <f t="shared" si="1"/>
        <v>2740.6</v>
      </c>
      <c r="M9" s="6">
        <f t="shared" si="2"/>
        <v>2740.6</v>
      </c>
      <c r="N9" s="6">
        <f t="shared" si="3"/>
        <v>7510888.3599999994</v>
      </c>
      <c r="O9" s="22"/>
    </row>
    <row r="10" spans="1:15" x14ac:dyDescent="0.25">
      <c r="A10">
        <v>9</v>
      </c>
      <c r="B10" s="19">
        <v>43282</v>
      </c>
      <c r="C10" s="20">
        <v>2832.7</v>
      </c>
      <c r="D10" s="6">
        <f t="shared" si="4"/>
        <v>2913</v>
      </c>
      <c r="E10" s="6">
        <f t="shared" si="5"/>
        <v>2900.2791666666662</v>
      </c>
      <c r="F10" s="5">
        <f t="shared" si="6"/>
        <v>0.97669908212858825</v>
      </c>
      <c r="G10" s="23">
        <f t="shared" ref="G10:G18" si="7">AVERAGE(F10,F22,F34)</f>
        <v>0.98837112064243338</v>
      </c>
      <c r="H10" s="6">
        <f>C10/$G$10</f>
        <v>2866.028702011009</v>
      </c>
      <c r="I10" s="6"/>
      <c r="J10">
        <f t="shared" si="0"/>
        <v>2883.5610000000001</v>
      </c>
      <c r="K10" s="37"/>
      <c r="L10" s="6">
        <f t="shared" si="1"/>
        <v>2832.7</v>
      </c>
      <c r="M10" s="6">
        <f t="shared" si="2"/>
        <v>2832.7</v>
      </c>
      <c r="N10" s="6">
        <f t="shared" si="3"/>
        <v>8024189.2899999991</v>
      </c>
      <c r="O10" s="22"/>
    </row>
    <row r="11" spans="1:15" x14ac:dyDescent="0.25">
      <c r="A11">
        <v>10</v>
      </c>
      <c r="B11" s="19">
        <v>43313</v>
      </c>
      <c r="C11" s="20">
        <v>2960.5</v>
      </c>
      <c r="D11" s="6">
        <f t="shared" si="4"/>
        <v>2915.6833333333329</v>
      </c>
      <c r="E11" s="6">
        <f t="shared" si="5"/>
        <v>2914.3416666666662</v>
      </c>
      <c r="F11" s="5">
        <f t="shared" si="6"/>
        <v>1.0158383397050794</v>
      </c>
      <c r="G11" s="23">
        <f t="shared" si="7"/>
        <v>0.9949530630881368</v>
      </c>
      <c r="H11" s="6">
        <f>C11/$G$11</f>
        <v>2975.5172478299587</v>
      </c>
      <c r="I11" s="6"/>
      <c r="J11">
        <f t="shared" si="0"/>
        <v>2897.19</v>
      </c>
      <c r="K11" s="37"/>
      <c r="L11" s="6">
        <f t="shared" si="1"/>
        <v>2960.5</v>
      </c>
      <c r="M11" s="6">
        <f t="shared" si="2"/>
        <v>2960.5</v>
      </c>
      <c r="N11" s="6">
        <f t="shared" si="3"/>
        <v>8764560.25</v>
      </c>
      <c r="O11" s="22"/>
    </row>
    <row r="12" spans="1:15" x14ac:dyDescent="0.25">
      <c r="A12">
        <v>11</v>
      </c>
      <c r="B12" s="19">
        <v>43344</v>
      </c>
      <c r="C12" s="20">
        <v>2787</v>
      </c>
      <c r="D12" s="6">
        <f t="shared" si="4"/>
        <v>2931.1583333333328</v>
      </c>
      <c r="E12" s="6">
        <f t="shared" si="5"/>
        <v>2923.4208333333327</v>
      </c>
      <c r="F12" s="5">
        <f t="shared" si="6"/>
        <v>0.95333520518912651</v>
      </c>
      <c r="G12" s="23">
        <f t="shared" si="7"/>
        <v>0.9619719384070704</v>
      </c>
      <c r="H12" s="6">
        <f>C12/$G$12</f>
        <v>2897.1739078116916</v>
      </c>
      <c r="I12" s="6"/>
      <c r="J12">
        <f t="shared" si="0"/>
        <v>2910.819</v>
      </c>
      <c r="K12" s="37"/>
      <c r="L12" s="6">
        <f t="shared" si="1"/>
        <v>2787</v>
      </c>
      <c r="M12" s="6">
        <f t="shared" si="2"/>
        <v>2787</v>
      </c>
      <c r="N12" s="6">
        <f t="shared" si="3"/>
        <v>7767369</v>
      </c>
      <c r="O12" s="22"/>
    </row>
    <row r="13" spans="1:15" x14ac:dyDescent="0.25">
      <c r="A13">
        <v>12</v>
      </c>
      <c r="B13" s="19">
        <v>43374</v>
      </c>
      <c r="C13" s="20">
        <v>3018.3</v>
      </c>
      <c r="D13" s="6">
        <f t="shared" si="4"/>
        <v>2940.5833333333335</v>
      </c>
      <c r="E13" s="6">
        <f t="shared" si="5"/>
        <v>2935.8708333333334</v>
      </c>
      <c r="F13" s="5">
        <f t="shared" si="6"/>
        <v>1.0280765644492194</v>
      </c>
      <c r="G13" s="23">
        <f t="shared" si="7"/>
        <v>1.038090724319803</v>
      </c>
      <c r="H13" s="6">
        <f>C13/$G$13</f>
        <v>2907.5493396569041</v>
      </c>
      <c r="I13" s="6"/>
      <c r="J13">
        <f t="shared" si="0"/>
        <v>2924.4480000000003</v>
      </c>
      <c r="K13" s="37"/>
      <c r="L13" s="6">
        <f t="shared" si="1"/>
        <v>3018.3</v>
      </c>
      <c r="M13" s="6">
        <f t="shared" si="2"/>
        <v>3018.3</v>
      </c>
      <c r="N13" s="6">
        <f t="shared" si="3"/>
        <v>9110134.8900000006</v>
      </c>
      <c r="O13" s="22"/>
    </row>
    <row r="14" spans="1:15" x14ac:dyDescent="0.25">
      <c r="A14">
        <v>13</v>
      </c>
      <c r="B14" s="19">
        <v>43405</v>
      </c>
      <c r="C14" s="20">
        <v>3006</v>
      </c>
      <c r="D14" s="6">
        <f t="shared" si="4"/>
        <v>2951.9583333333326</v>
      </c>
      <c r="E14" s="6">
        <f t="shared" si="5"/>
        <v>2946.270833333333</v>
      </c>
      <c r="F14" s="5">
        <f t="shared" si="6"/>
        <v>1.0202728024833654</v>
      </c>
      <c r="G14" s="23">
        <f t="shared" si="7"/>
        <v>1.0031468784705486</v>
      </c>
      <c r="H14" s="6">
        <f>C14/$G$14</f>
        <v>2996.5701578846642</v>
      </c>
      <c r="I14" s="6"/>
      <c r="J14">
        <f t="shared" si="0"/>
        <v>2938.0770000000002</v>
      </c>
      <c r="K14" s="37"/>
      <c r="L14" s="6">
        <f t="shared" si="1"/>
        <v>3006</v>
      </c>
      <c r="M14" s="6">
        <f t="shared" si="2"/>
        <v>3006</v>
      </c>
      <c r="N14" s="6">
        <f t="shared" si="3"/>
        <v>9036036</v>
      </c>
      <c r="O14" s="22"/>
    </row>
    <row r="15" spans="1:15" x14ac:dyDescent="0.25">
      <c r="A15">
        <v>14</v>
      </c>
      <c r="B15" s="19">
        <v>43435</v>
      </c>
      <c r="C15" s="20">
        <v>3238.5</v>
      </c>
      <c r="D15" s="6">
        <f t="shared" si="4"/>
        <v>2957.9916666666663</v>
      </c>
      <c r="E15" s="6">
        <f t="shared" si="5"/>
        <v>2954.9749999999995</v>
      </c>
      <c r="F15" s="5">
        <f t="shared" si="6"/>
        <v>1.095948358277143</v>
      </c>
      <c r="G15" s="23">
        <f t="shared" si="7"/>
        <v>1.1066361528158175</v>
      </c>
      <c r="H15" s="6">
        <f>C15/$G$15</f>
        <v>2926.4361115979177</v>
      </c>
      <c r="I15" s="6"/>
      <c r="J15">
        <f t="shared" si="0"/>
        <v>2951.7060000000001</v>
      </c>
      <c r="K15" s="37"/>
      <c r="L15" s="6">
        <f t="shared" si="1"/>
        <v>3238.5</v>
      </c>
      <c r="M15" s="6">
        <f t="shared" si="2"/>
        <v>3238.5</v>
      </c>
      <c r="N15" s="6">
        <f t="shared" si="3"/>
        <v>10487882.25</v>
      </c>
      <c r="O15" s="22"/>
    </row>
    <row r="16" spans="1:15" x14ac:dyDescent="0.25">
      <c r="A16">
        <v>15</v>
      </c>
      <c r="B16" s="19">
        <v>43466</v>
      </c>
      <c r="C16" s="20">
        <v>3074.1</v>
      </c>
      <c r="D16" s="6">
        <f t="shared" si="4"/>
        <v>2970.3416666666667</v>
      </c>
      <c r="E16" s="6">
        <f t="shared" si="5"/>
        <v>2964.1666666666665</v>
      </c>
      <c r="F16" s="5">
        <f t="shared" si="6"/>
        <v>1.0370874332302502</v>
      </c>
      <c r="G16" s="23">
        <f t="shared" si="7"/>
        <v>1.0393321614856292</v>
      </c>
      <c r="H16" s="6">
        <f>C16/$G$16</f>
        <v>2957.7647203814595</v>
      </c>
      <c r="I16" s="6"/>
      <c r="J16">
        <f t="shared" si="0"/>
        <v>2965.335</v>
      </c>
      <c r="K16" s="37"/>
      <c r="L16" s="6">
        <f t="shared" si="1"/>
        <v>3074.1</v>
      </c>
      <c r="M16" s="6">
        <f t="shared" si="2"/>
        <v>3074.1</v>
      </c>
      <c r="N16" s="6">
        <f t="shared" si="3"/>
        <v>9450090.8099999987</v>
      </c>
      <c r="O16" s="22"/>
    </row>
    <row r="17" spans="1:15" x14ac:dyDescent="0.25">
      <c r="A17">
        <v>16</v>
      </c>
      <c r="B17" s="19">
        <v>43497</v>
      </c>
      <c r="C17" s="20">
        <v>2793.3</v>
      </c>
      <c r="D17" s="6">
        <f t="shared" si="4"/>
        <v>2973.15</v>
      </c>
      <c r="E17" s="6">
        <f t="shared" si="5"/>
        <v>2971.7458333333334</v>
      </c>
      <c r="F17" s="5">
        <f>C17/E17</f>
        <v>0.93995252510098581</v>
      </c>
      <c r="G17" s="23">
        <f t="shared" si="7"/>
        <v>0.93481118650485595</v>
      </c>
      <c r="H17" s="6">
        <f>C17/$G$17</f>
        <v>2988.0900446258088</v>
      </c>
      <c r="I17" s="6"/>
      <c r="J17">
        <f t="shared" si="0"/>
        <v>2978.9639999999999</v>
      </c>
      <c r="K17" s="37"/>
      <c r="L17" s="6">
        <f t="shared" si="1"/>
        <v>2793.3</v>
      </c>
      <c r="M17" s="6">
        <f t="shared" si="2"/>
        <v>2793.3</v>
      </c>
      <c r="N17" s="6">
        <f t="shared" si="3"/>
        <v>7802524.8900000006</v>
      </c>
      <c r="O17" s="22"/>
    </row>
    <row r="18" spans="1:15" x14ac:dyDescent="0.25">
      <c r="A18">
        <v>17</v>
      </c>
      <c r="B18" s="19">
        <v>43525</v>
      </c>
      <c r="C18" s="20">
        <v>3058</v>
      </c>
      <c r="D18" s="6">
        <f t="shared" si="4"/>
        <v>2984.4416666666671</v>
      </c>
      <c r="E18" s="6">
        <f t="shared" si="5"/>
        <v>2978.7958333333336</v>
      </c>
      <c r="F18" s="5">
        <f t="shared" si="6"/>
        <v>1.0265893237060277</v>
      </c>
      <c r="G18" s="23">
        <f t="shared" si="7"/>
        <v>1.0145253100848202</v>
      </c>
      <c r="H18" s="6">
        <f>C18/$G$18</f>
        <v>3014.2175553454981</v>
      </c>
      <c r="I18" s="6"/>
      <c r="J18">
        <f t="shared" si="0"/>
        <v>2992.5929999999998</v>
      </c>
      <c r="K18" s="37"/>
      <c r="L18" s="6">
        <f t="shared" si="1"/>
        <v>3058</v>
      </c>
      <c r="M18" s="6">
        <f t="shared" si="2"/>
        <v>3058</v>
      </c>
      <c r="N18" s="6">
        <f t="shared" si="3"/>
        <v>9351364</v>
      </c>
      <c r="O18" s="22"/>
    </row>
    <row r="19" spans="1:15" x14ac:dyDescent="0.25">
      <c r="A19">
        <v>18</v>
      </c>
      <c r="B19" s="19">
        <v>43556</v>
      </c>
      <c r="C19" s="20">
        <v>2865.6</v>
      </c>
      <c r="D19" s="6">
        <f t="shared" si="4"/>
        <v>2996.7333333333336</v>
      </c>
      <c r="E19" s="6">
        <f t="shared" si="5"/>
        <v>2990.5875000000005</v>
      </c>
      <c r="F19" s="5">
        <f t="shared" si="6"/>
        <v>0.95820637249369878</v>
      </c>
      <c r="G19" s="23">
        <f>AVERAGE(F19,F31,F43)</f>
        <v>0.97534883330910616</v>
      </c>
      <c r="H19" s="6">
        <f>C19/$G$19</f>
        <v>2938.0257628214522</v>
      </c>
      <c r="I19" s="6"/>
      <c r="J19">
        <f t="shared" si="0"/>
        <v>3006.2220000000002</v>
      </c>
      <c r="K19" s="37"/>
      <c r="L19" s="6">
        <f t="shared" si="1"/>
        <v>2865.6</v>
      </c>
      <c r="M19" s="6">
        <f t="shared" si="2"/>
        <v>2865.6</v>
      </c>
      <c r="N19" s="6">
        <f t="shared" si="3"/>
        <v>8211663.3599999994</v>
      </c>
      <c r="O19" s="22"/>
    </row>
    <row r="20" spans="1:15" x14ac:dyDescent="0.25">
      <c r="A20">
        <v>19</v>
      </c>
      <c r="B20" s="19">
        <v>43586</v>
      </c>
      <c r="C20" s="20">
        <v>3048.9</v>
      </c>
      <c r="D20" s="6">
        <f t="shared" si="4"/>
        <v>3002.5416666666665</v>
      </c>
      <c r="E20" s="6">
        <f t="shared" si="5"/>
        <v>2999.6374999999998</v>
      </c>
      <c r="F20" s="5">
        <f t="shared" si="6"/>
        <v>1.0164228177571457</v>
      </c>
      <c r="G20" s="23">
        <f t="shared" ref="G20:G43" si="8">AVERAGE(F20,F32,F44)</f>
        <v>1.0058647828287839</v>
      </c>
      <c r="H20" s="6">
        <f t="shared" ref="H20" si="9">C20/$G$8</f>
        <v>3024.4850024090315</v>
      </c>
      <c r="I20" s="6"/>
      <c r="J20">
        <f t="shared" si="0"/>
        <v>3019.8510000000001</v>
      </c>
      <c r="K20" s="37"/>
      <c r="L20" s="6">
        <f t="shared" si="1"/>
        <v>3048.9</v>
      </c>
      <c r="M20" s="6">
        <f t="shared" si="2"/>
        <v>3048.9</v>
      </c>
      <c r="N20" s="6">
        <f t="shared" si="3"/>
        <v>9295791.2100000009</v>
      </c>
      <c r="O20" s="22"/>
    </row>
    <row r="21" spans="1:15" x14ac:dyDescent="0.25">
      <c r="A21">
        <v>20</v>
      </c>
      <c r="B21" s="19">
        <v>43617</v>
      </c>
      <c r="C21" s="20">
        <v>2813</v>
      </c>
      <c r="D21" s="6">
        <f t="shared" si="4"/>
        <v>3017.1333333333332</v>
      </c>
      <c r="E21" s="6">
        <f t="shared" si="5"/>
        <v>3009.8374999999996</v>
      </c>
      <c r="F21" s="5">
        <f t="shared" si="6"/>
        <v>0.93460195110201139</v>
      </c>
      <c r="G21" s="23">
        <f t="shared" si="8"/>
        <v>0.93941665626280635</v>
      </c>
      <c r="H21" s="6">
        <f t="shared" ref="H21" si="10">C21/$G$9</f>
        <v>2983.4486578215519</v>
      </c>
      <c r="I21" s="6"/>
      <c r="J21">
        <f t="shared" si="0"/>
        <v>3033.48</v>
      </c>
      <c r="K21" s="37"/>
      <c r="L21" s="6">
        <f t="shared" si="1"/>
        <v>2813</v>
      </c>
      <c r="M21" s="6">
        <f t="shared" si="2"/>
        <v>2813</v>
      </c>
      <c r="N21" s="6">
        <f t="shared" si="3"/>
        <v>7912969</v>
      </c>
      <c r="O21" s="22"/>
    </row>
    <row r="22" spans="1:15" x14ac:dyDescent="0.25">
      <c r="A22">
        <v>21</v>
      </c>
      <c r="B22" s="19">
        <v>43647</v>
      </c>
      <c r="C22" s="20">
        <v>2980.9</v>
      </c>
      <c r="D22" s="6">
        <f t="shared" si="4"/>
        <v>3029.5083333333332</v>
      </c>
      <c r="E22" s="6">
        <f t="shared" si="5"/>
        <v>3023.3208333333332</v>
      </c>
      <c r="F22" s="5">
        <f t="shared" si="6"/>
        <v>0.98596879535058723</v>
      </c>
      <c r="G22" s="23">
        <f t="shared" si="8"/>
        <v>0.99420713989935616</v>
      </c>
      <c r="H22" s="6">
        <f t="shared" ref="H22" si="11">C22/$G$10</f>
        <v>3015.972378940452</v>
      </c>
      <c r="I22" s="6"/>
      <c r="J22">
        <f t="shared" si="0"/>
        <v>3047.1089999999999</v>
      </c>
      <c r="K22" s="37"/>
      <c r="L22" s="6">
        <f t="shared" si="1"/>
        <v>2980.9</v>
      </c>
      <c r="M22" s="6">
        <f t="shared" si="2"/>
        <v>2980.9</v>
      </c>
      <c r="N22" s="6">
        <f t="shared" si="3"/>
        <v>8885764.8100000005</v>
      </c>
      <c r="O22" s="22"/>
    </row>
    <row r="23" spans="1:15" x14ac:dyDescent="0.25">
      <c r="A23">
        <v>22</v>
      </c>
      <c r="B23" s="19">
        <v>43678</v>
      </c>
      <c r="C23" s="20">
        <v>2994.2</v>
      </c>
      <c r="D23" s="6">
        <f t="shared" si="4"/>
        <v>3037.0916666666667</v>
      </c>
      <c r="E23" s="6">
        <f t="shared" si="5"/>
        <v>3033.3</v>
      </c>
      <c r="F23" s="5">
        <f t="shared" si="6"/>
        <v>0.98710974845877419</v>
      </c>
      <c r="G23" s="23">
        <f t="shared" si="8"/>
        <v>0.98451042477966555</v>
      </c>
      <c r="H23" s="6">
        <f t="shared" ref="H23" si="12">C23/$G$11</f>
        <v>3009.3881923500967</v>
      </c>
      <c r="I23" s="6"/>
      <c r="J23">
        <f t="shared" si="0"/>
        <v>3060.7380000000003</v>
      </c>
      <c r="K23" s="37"/>
      <c r="L23" s="6">
        <f t="shared" si="1"/>
        <v>2994.2</v>
      </c>
      <c r="M23" s="6">
        <f t="shared" si="2"/>
        <v>2994.2</v>
      </c>
      <c r="N23" s="6">
        <f t="shared" si="3"/>
        <v>8965233.6399999987</v>
      </c>
      <c r="O23" s="22"/>
    </row>
    <row r="24" spans="1:15" x14ac:dyDescent="0.25">
      <c r="A24">
        <v>23</v>
      </c>
      <c r="B24" s="19">
        <v>43709</v>
      </c>
      <c r="C24" s="20">
        <v>2922.5</v>
      </c>
      <c r="D24" s="6">
        <f t="shared" si="4"/>
        <v>3038.6833333333329</v>
      </c>
      <c r="E24" s="6">
        <f t="shared" si="5"/>
        <v>3037.8874999999998</v>
      </c>
      <c r="F24" s="5">
        <f t="shared" si="6"/>
        <v>0.96201719122251894</v>
      </c>
      <c r="G24" s="23">
        <f t="shared" si="8"/>
        <v>0.96629030501604241</v>
      </c>
      <c r="H24" s="6">
        <f t="shared" ref="H24" si="13">C24/$G$12</f>
        <v>3038.0304074559272</v>
      </c>
      <c r="I24" s="6"/>
      <c r="J24">
        <f t="shared" si="0"/>
        <v>3074.3670000000002</v>
      </c>
      <c r="K24" s="37"/>
      <c r="L24" s="6">
        <f t="shared" si="1"/>
        <v>2922.5</v>
      </c>
      <c r="M24" s="6">
        <f t="shared" si="2"/>
        <v>2922.5</v>
      </c>
      <c r="N24" s="6">
        <f t="shared" si="3"/>
        <v>8541006.25</v>
      </c>
      <c r="O24" s="22"/>
    </row>
    <row r="25" spans="1:15" x14ac:dyDescent="0.25">
      <c r="A25">
        <v>24</v>
      </c>
      <c r="B25" s="19">
        <v>43739</v>
      </c>
      <c r="C25" s="20">
        <v>3165.8</v>
      </c>
      <c r="D25" s="6">
        <f t="shared" si="4"/>
        <v>3058.6166666666668</v>
      </c>
      <c r="E25" s="6">
        <f t="shared" si="5"/>
        <v>3048.6499999999996</v>
      </c>
      <c r="F25" s="5">
        <f t="shared" si="6"/>
        <v>1.038426844668952</v>
      </c>
      <c r="G25" s="23">
        <f t="shared" si="8"/>
        <v>1.0430978042550947</v>
      </c>
      <c r="H25" s="6">
        <f t="shared" ref="H25" si="14">C25/$G$13</f>
        <v>3049.637113436645</v>
      </c>
      <c r="I25" s="6"/>
      <c r="J25">
        <f t="shared" si="0"/>
        <v>3087.9960000000001</v>
      </c>
      <c r="K25" s="37"/>
      <c r="L25" s="6">
        <f t="shared" si="1"/>
        <v>3165.8</v>
      </c>
      <c r="M25" s="6">
        <f t="shared" si="2"/>
        <v>3165.8</v>
      </c>
      <c r="N25" s="6">
        <f t="shared" si="3"/>
        <v>10022289.640000001</v>
      </c>
      <c r="O25" s="22"/>
    </row>
    <row r="26" spans="1:15" x14ac:dyDescent="0.25">
      <c r="A26">
        <v>25</v>
      </c>
      <c r="B26" s="19">
        <v>43770</v>
      </c>
      <c r="C26" s="20">
        <v>3075.7</v>
      </c>
      <c r="D26" s="6">
        <f t="shared" si="4"/>
        <v>3066.8333333333326</v>
      </c>
      <c r="E26" s="6">
        <f t="shared" si="5"/>
        <v>3062.7249999999995</v>
      </c>
      <c r="F26" s="5">
        <f t="shared" si="6"/>
        <v>1.0042364234464407</v>
      </c>
      <c r="G26" s="23">
        <f t="shared" si="8"/>
        <v>0.99458391646414013</v>
      </c>
      <c r="H26" s="6">
        <f t="shared" ref="H26" si="15">C26/$G$14</f>
        <v>3066.0515085182506</v>
      </c>
      <c r="I26" s="6"/>
      <c r="J26">
        <f t="shared" si="0"/>
        <v>3101.625</v>
      </c>
      <c r="K26" s="37"/>
      <c r="L26" s="6">
        <f t="shared" si="1"/>
        <v>3075.7</v>
      </c>
      <c r="M26" s="6">
        <f t="shared" si="2"/>
        <v>3075.7</v>
      </c>
      <c r="N26" s="6">
        <f t="shared" si="3"/>
        <v>9459930.4899999984</v>
      </c>
      <c r="O26" s="22"/>
    </row>
    <row r="27" spans="1:15" x14ac:dyDescent="0.25">
      <c r="A27">
        <v>26</v>
      </c>
      <c r="B27" s="19">
        <v>43800</v>
      </c>
      <c r="C27" s="20">
        <v>3413.6</v>
      </c>
      <c r="D27" s="6">
        <f t="shared" si="4"/>
        <v>3082.6166666666668</v>
      </c>
      <c r="E27" s="6">
        <f t="shared" si="5"/>
        <v>3074.7249999999995</v>
      </c>
      <c r="F27" s="5">
        <f t="shared" si="6"/>
        <v>1.1102131084893774</v>
      </c>
      <c r="G27" s="23">
        <f t="shared" si="8"/>
        <v>1.1119800500851547</v>
      </c>
      <c r="H27" s="6">
        <f t="shared" ref="H27" si="16">C27/$G$15</f>
        <v>3084.6633659257841</v>
      </c>
      <c r="I27" s="6"/>
      <c r="J27">
        <f t="shared" si="0"/>
        <v>3115.2539999999999</v>
      </c>
      <c r="K27" s="37"/>
      <c r="L27" s="6">
        <f t="shared" si="1"/>
        <v>3413.6</v>
      </c>
      <c r="M27" s="6">
        <f t="shared" si="2"/>
        <v>3413.6</v>
      </c>
      <c r="N27" s="6">
        <f t="shared" si="3"/>
        <v>11652664.959999999</v>
      </c>
      <c r="O27" s="22"/>
    </row>
    <row r="28" spans="1:15" x14ac:dyDescent="0.25">
      <c r="A28">
        <v>27</v>
      </c>
      <c r="B28" s="19">
        <v>43831</v>
      </c>
      <c r="C28" s="20">
        <v>3222.6</v>
      </c>
      <c r="D28" s="6">
        <f t="shared" si="4"/>
        <v>3101.5083333333332</v>
      </c>
      <c r="E28" s="6">
        <f t="shared" si="5"/>
        <v>3092.0625</v>
      </c>
      <c r="F28" s="5">
        <f t="shared" si="6"/>
        <v>1.0422169668303922</v>
      </c>
      <c r="G28" s="23">
        <f t="shared" si="8"/>
        <v>1.0404545256133186</v>
      </c>
      <c r="H28" s="6">
        <f t="shared" ref="H28" si="17">C28/$G$16</f>
        <v>3100.644932793758</v>
      </c>
      <c r="I28" s="6"/>
      <c r="J28">
        <f t="shared" si="0"/>
        <v>3128.8830000000003</v>
      </c>
      <c r="K28" s="37"/>
      <c r="L28" s="6">
        <f t="shared" si="1"/>
        <v>3222.6</v>
      </c>
      <c r="M28" s="6">
        <f t="shared" si="2"/>
        <v>3222.6</v>
      </c>
      <c r="N28" s="6">
        <f t="shared" si="3"/>
        <v>10385150.76</v>
      </c>
      <c r="O28" s="22"/>
    </row>
    <row r="29" spans="1:15" x14ac:dyDescent="0.25">
      <c r="A29">
        <v>28</v>
      </c>
      <c r="B29" s="19">
        <v>43862</v>
      </c>
      <c r="C29" s="20">
        <v>2884.3</v>
      </c>
      <c r="D29" s="6">
        <f t="shared" si="4"/>
        <v>3115.375</v>
      </c>
      <c r="E29" s="6">
        <f t="shared" si="5"/>
        <v>3108.4416666666666</v>
      </c>
      <c r="F29" s="5">
        <f t="shared" si="6"/>
        <v>0.92789259355572062</v>
      </c>
      <c r="G29" s="23">
        <f t="shared" si="8"/>
        <v>0.93224051720679113</v>
      </c>
      <c r="H29" s="6">
        <f t="shared" ref="H29" si="18">C29/$G$17</f>
        <v>3085.4359058154228</v>
      </c>
      <c r="I29" s="6"/>
      <c r="J29">
        <f t="shared" si="0"/>
        <v>3142.5120000000002</v>
      </c>
      <c r="K29" s="37"/>
      <c r="L29" s="6">
        <f t="shared" si="1"/>
        <v>2884.3</v>
      </c>
      <c r="M29" s="6">
        <f t="shared" si="2"/>
        <v>2884.3</v>
      </c>
      <c r="N29" s="6">
        <f t="shared" si="3"/>
        <v>8319186.4900000012</v>
      </c>
      <c r="O29" s="22"/>
    </row>
    <row r="30" spans="1:15" x14ac:dyDescent="0.25">
      <c r="A30">
        <v>29</v>
      </c>
      <c r="B30" s="19">
        <v>43891</v>
      </c>
      <c r="C30" s="20">
        <v>3077.1</v>
      </c>
      <c r="D30" s="6">
        <f t="shared" si="4"/>
        <v>3134.2416666666668</v>
      </c>
      <c r="E30" s="6">
        <f t="shared" si="5"/>
        <v>3124.8083333333334</v>
      </c>
      <c r="F30" s="5">
        <f t="shared" si="6"/>
        <v>0.98473239692034442</v>
      </c>
      <c r="G30" s="23">
        <f t="shared" si="8"/>
        <v>1.0084933032742167</v>
      </c>
      <c r="H30" s="6">
        <f t="shared" ref="H30" si="19">C30/$G$18</f>
        <v>3033.0440940332346</v>
      </c>
      <c r="I30" s="6"/>
      <c r="J30">
        <f t="shared" si="0"/>
        <v>3156.1410000000001</v>
      </c>
      <c r="K30" s="37"/>
      <c r="L30" s="6">
        <f t="shared" si="1"/>
        <v>3077.1</v>
      </c>
      <c r="M30" s="6">
        <f t="shared" si="2"/>
        <v>3077.1</v>
      </c>
      <c r="N30" s="6">
        <f t="shared" si="3"/>
        <v>9468544.4100000001</v>
      </c>
      <c r="O30" s="22"/>
    </row>
    <row r="31" spans="1:15" x14ac:dyDescent="0.25">
      <c r="A31">
        <v>30</v>
      </c>
      <c r="B31" s="19">
        <v>43922</v>
      </c>
      <c r="C31" s="20">
        <v>3104.8</v>
      </c>
      <c r="D31" s="6">
        <f t="shared" si="4"/>
        <v>3155.7749999999996</v>
      </c>
      <c r="E31" s="6">
        <f t="shared" si="5"/>
        <v>3145.0083333333332</v>
      </c>
      <c r="F31" s="5">
        <f t="shared" si="6"/>
        <v>0.98721519020882309</v>
      </c>
      <c r="G31" s="23">
        <f t="shared" si="8"/>
        <v>0.98392006371680985</v>
      </c>
      <c r="H31" s="6">
        <f>C31/$G$19</f>
        <v>3183.2713527387091</v>
      </c>
      <c r="I31" s="6"/>
      <c r="J31">
        <f t="shared" si="0"/>
        <v>3169.77</v>
      </c>
      <c r="K31" s="37"/>
      <c r="L31" s="6">
        <f t="shared" si="1"/>
        <v>3104.8</v>
      </c>
      <c r="M31" s="6">
        <f t="shared" si="2"/>
        <v>3104.8</v>
      </c>
      <c r="N31" s="6">
        <f t="shared" si="3"/>
        <v>9639783.040000001</v>
      </c>
      <c r="O31" s="22"/>
    </row>
    <row r="32" spans="1:15" x14ac:dyDescent="0.25">
      <c r="A32">
        <v>31</v>
      </c>
      <c r="B32" s="19">
        <v>43952</v>
      </c>
      <c r="C32" s="20">
        <v>3147.5</v>
      </c>
      <c r="D32" s="6">
        <f t="shared" si="4"/>
        <v>3168.9083333333333</v>
      </c>
      <c r="E32" s="6">
        <f t="shared" si="5"/>
        <v>3162.3416666666662</v>
      </c>
      <c r="F32" s="5">
        <f t="shared" si="6"/>
        <v>0.99530674790042206</v>
      </c>
      <c r="G32" s="23">
        <f t="shared" si="8"/>
        <v>0.99530674790042206</v>
      </c>
      <c r="H32" s="6">
        <f t="shared" ref="H32" si="20">C32/$G$8</f>
        <v>3122.2954328060696</v>
      </c>
      <c r="I32" s="6"/>
      <c r="J32">
        <f t="shared" si="0"/>
        <v>3183.3989999999999</v>
      </c>
      <c r="K32" s="37"/>
      <c r="L32" s="6">
        <f t="shared" si="1"/>
        <v>3147.5</v>
      </c>
      <c r="M32" s="6">
        <f t="shared" si="2"/>
        <v>3147.5</v>
      </c>
      <c r="N32" s="6">
        <f t="shared" si="3"/>
        <v>9906756.25</v>
      </c>
      <c r="O32" s="22"/>
    </row>
    <row r="33" spans="1:15" x14ac:dyDescent="0.25">
      <c r="A33">
        <v>32</v>
      </c>
      <c r="B33" s="19">
        <v>43983</v>
      </c>
      <c r="C33" s="20">
        <v>3002.4</v>
      </c>
      <c r="D33" s="6">
        <f t="shared" si="4"/>
        <v>3190.5500000000006</v>
      </c>
      <c r="E33" s="6">
        <f t="shared" si="5"/>
        <v>3179.729166666667</v>
      </c>
      <c r="F33" s="5">
        <f t="shared" si="6"/>
        <v>0.94423136142360131</v>
      </c>
      <c r="G33" s="23">
        <f t="shared" si="8"/>
        <v>0.94423136142360131</v>
      </c>
      <c r="H33" s="6">
        <f t="shared" ref="H33" si="21">C33/$G$9</f>
        <v>3184.3250089738453</v>
      </c>
      <c r="I33" s="6"/>
      <c r="J33">
        <f t="shared" si="0"/>
        <v>3197.0280000000002</v>
      </c>
      <c r="K33" s="37"/>
      <c r="L33" s="6">
        <f t="shared" si="1"/>
        <v>3002.4</v>
      </c>
      <c r="M33" s="6">
        <f t="shared" si="2"/>
        <v>3002.4</v>
      </c>
      <c r="N33" s="6">
        <f t="shared" si="3"/>
        <v>9014405.7599999998</v>
      </c>
      <c r="O33" s="22"/>
    </row>
    <row r="34" spans="1:15" x14ac:dyDescent="0.25">
      <c r="A34">
        <v>33</v>
      </c>
      <c r="B34" s="19">
        <v>44013</v>
      </c>
      <c r="C34" s="20">
        <v>3207.6</v>
      </c>
      <c r="D34" s="6">
        <f t="shared" si="4"/>
        <v>3209</v>
      </c>
      <c r="E34" s="6">
        <f t="shared" si="5"/>
        <v>3199.7750000000005</v>
      </c>
      <c r="F34" s="5">
        <f t="shared" si="6"/>
        <v>1.002445484448125</v>
      </c>
      <c r="G34" s="23">
        <f t="shared" si="8"/>
        <v>1.002445484448125</v>
      </c>
      <c r="H34" s="6">
        <f t="shared" ref="H34" si="22">C34/$G$10</f>
        <v>3245.33966342024</v>
      </c>
      <c r="I34" s="6"/>
      <c r="J34">
        <f t="shared" si="0"/>
        <v>3210.6570000000002</v>
      </c>
      <c r="K34" s="37"/>
      <c r="L34" s="6">
        <f t="shared" si="1"/>
        <v>3207.6</v>
      </c>
      <c r="M34" s="6">
        <f t="shared" si="2"/>
        <v>3207.6</v>
      </c>
      <c r="N34" s="6">
        <f t="shared" si="3"/>
        <v>10288697.76</v>
      </c>
      <c r="O34" s="22"/>
    </row>
    <row r="35" spans="1:15" x14ac:dyDescent="0.25">
      <c r="A35">
        <v>34</v>
      </c>
      <c r="B35" s="19">
        <v>44044</v>
      </c>
      <c r="C35" s="20">
        <v>3160.6</v>
      </c>
      <c r="D35" s="6">
        <f t="shared" si="4"/>
        <v>3228.6499999999996</v>
      </c>
      <c r="E35" s="6">
        <f t="shared" si="5"/>
        <v>3218.8249999999998</v>
      </c>
      <c r="F35" s="5">
        <f t="shared" si="6"/>
        <v>0.9819111011005569</v>
      </c>
      <c r="G35" s="23">
        <f t="shared" si="8"/>
        <v>0.9819111011005569</v>
      </c>
      <c r="H35" s="6">
        <f t="shared" ref="H35" si="23">C35/$G$11</f>
        <v>3176.6322626216406</v>
      </c>
      <c r="I35" s="6"/>
      <c r="J35">
        <f t="shared" si="0"/>
        <v>3224.2860000000001</v>
      </c>
      <c r="K35" s="37"/>
      <c r="L35" s="6">
        <f t="shared" si="1"/>
        <v>3160.6</v>
      </c>
      <c r="M35" s="6">
        <f t="shared" si="2"/>
        <v>3160.6</v>
      </c>
      <c r="N35" s="6">
        <f t="shared" si="3"/>
        <v>9989392.3599999994</v>
      </c>
      <c r="O35" s="22"/>
    </row>
    <row r="36" spans="1:15" x14ac:dyDescent="0.25">
      <c r="A36">
        <v>35</v>
      </c>
      <c r="B36" s="19">
        <v>44075</v>
      </c>
      <c r="C36" s="20">
        <v>3148.9</v>
      </c>
      <c r="D36" s="6">
        <f t="shared" si="4"/>
        <v>3260.1583333333333</v>
      </c>
      <c r="E36" s="6">
        <f t="shared" si="5"/>
        <v>3244.4041666666662</v>
      </c>
      <c r="F36" s="5">
        <f t="shared" si="6"/>
        <v>0.97056341880956587</v>
      </c>
      <c r="G36" s="23">
        <f t="shared" si="8"/>
        <v>0.97056341880956587</v>
      </c>
      <c r="H36" s="6">
        <f t="shared" ref="H36" si="24">C36/$G$12</f>
        <v>3273.3803079685094</v>
      </c>
      <c r="I36" s="6"/>
      <c r="J36">
        <f t="shared" si="0"/>
        <v>3237.915</v>
      </c>
      <c r="K36" s="37"/>
      <c r="L36" s="6">
        <f t="shared" si="1"/>
        <v>3148.9</v>
      </c>
      <c r="M36" s="6">
        <f t="shared" si="2"/>
        <v>3148.9</v>
      </c>
      <c r="N36" s="6">
        <f t="shared" si="3"/>
        <v>9915571.2100000009</v>
      </c>
      <c r="O36" s="22"/>
    </row>
    <row r="37" spans="1:15" x14ac:dyDescent="0.25">
      <c r="A37">
        <v>36</v>
      </c>
      <c r="B37" s="19">
        <v>44105</v>
      </c>
      <c r="C37" s="20">
        <v>3424.2</v>
      </c>
      <c r="D37" s="6">
        <f t="shared" si="4"/>
        <v>3276.0166666666664</v>
      </c>
      <c r="E37" s="6">
        <f t="shared" si="5"/>
        <v>3268.0874999999996</v>
      </c>
      <c r="F37" s="5">
        <f t="shared" si="6"/>
        <v>1.0477687638412374</v>
      </c>
      <c r="G37" s="23">
        <f t="shared" si="8"/>
        <v>1.0477687638412374</v>
      </c>
      <c r="H37" s="6">
        <f t="shared" ref="H37" si="25">C37/$G$13</f>
        <v>3298.5556269599342</v>
      </c>
      <c r="I37" s="6"/>
      <c r="J37">
        <f t="shared" si="0"/>
        <v>3251.5439999999999</v>
      </c>
      <c r="K37" s="37"/>
      <c r="L37" s="6">
        <f t="shared" si="1"/>
        <v>3424.2</v>
      </c>
      <c r="M37" s="6">
        <f t="shared" si="2"/>
        <v>3424.2</v>
      </c>
      <c r="N37" s="6">
        <f t="shared" si="3"/>
        <v>11725145.639999999</v>
      </c>
      <c r="O37" s="22"/>
    </row>
    <row r="38" spans="1:15" x14ac:dyDescent="0.25">
      <c r="A38">
        <v>37</v>
      </c>
      <c r="B38" s="19">
        <v>44136</v>
      </c>
      <c r="C38" s="20">
        <v>3233.3</v>
      </c>
      <c r="D38" s="6">
        <f t="shared" si="4"/>
        <v>3289.5166666666664</v>
      </c>
      <c r="E38" s="6">
        <f t="shared" si="5"/>
        <v>3282.7666666666664</v>
      </c>
      <c r="F38" s="5">
        <f t="shared" si="6"/>
        <v>0.98493140948183966</v>
      </c>
      <c r="G38" s="23">
        <f t="shared" si="8"/>
        <v>0.98493140948183966</v>
      </c>
      <c r="H38" s="6">
        <f t="shared" ref="H38" si="26">C38/$G$14</f>
        <v>3223.1571162636346</v>
      </c>
      <c r="I38" s="6"/>
      <c r="J38">
        <f t="shared" si="0"/>
        <v>3265.1730000000002</v>
      </c>
      <c r="K38" s="37"/>
      <c r="L38" s="6">
        <f t="shared" si="1"/>
        <v>3233.3</v>
      </c>
      <c r="M38" s="6">
        <f t="shared" si="2"/>
        <v>3233.3</v>
      </c>
      <c r="N38" s="6">
        <f t="shared" si="3"/>
        <v>10454228.890000001</v>
      </c>
      <c r="O38" s="22"/>
    </row>
    <row r="39" spans="1:15" x14ac:dyDescent="0.25">
      <c r="A39">
        <v>38</v>
      </c>
      <c r="B39" s="19">
        <v>44166</v>
      </c>
      <c r="C39" s="20">
        <v>3673.3</v>
      </c>
      <c r="D39" s="6">
        <f t="shared" si="4"/>
        <v>3306.7749999999996</v>
      </c>
      <c r="E39" s="6">
        <f t="shared" si="5"/>
        <v>3298.145833333333</v>
      </c>
      <c r="F39" s="5">
        <f t="shared" si="6"/>
        <v>1.1137469916809319</v>
      </c>
      <c r="G39" s="23">
        <f t="shared" si="8"/>
        <v>1.1137469916809319</v>
      </c>
      <c r="H39" s="6">
        <f t="shared" ref="H39" si="27">C39/$G$15</f>
        <v>3319.3385112652868</v>
      </c>
      <c r="I39" s="6"/>
      <c r="J39">
        <f t="shared" si="0"/>
        <v>3278.8020000000001</v>
      </c>
      <c r="K39" s="37"/>
      <c r="L39" s="6">
        <f t="shared" si="1"/>
        <v>3673.3</v>
      </c>
      <c r="M39" s="6">
        <f t="shared" si="2"/>
        <v>3673.3</v>
      </c>
      <c r="N39" s="6">
        <f t="shared" si="3"/>
        <v>13493132.890000001</v>
      </c>
      <c r="O39" s="22"/>
    </row>
    <row r="40" spans="1:15" x14ac:dyDescent="0.25">
      <c r="A40">
        <v>39</v>
      </c>
      <c r="B40" s="19">
        <v>44197</v>
      </c>
      <c r="C40" s="20">
        <v>3444</v>
      </c>
      <c r="D40" s="6">
        <f t="shared" si="4"/>
        <v>3324.6416666666664</v>
      </c>
      <c r="E40" s="6">
        <f t="shared" si="5"/>
        <v>3315.708333333333</v>
      </c>
      <c r="F40" s="38">
        <f>C40/E40</f>
        <v>1.0386920843962453</v>
      </c>
      <c r="G40" s="23">
        <f t="shared" si="8"/>
        <v>1.0386920843962453</v>
      </c>
      <c r="H40" s="37">
        <f>C40/$G$16</f>
        <v>3313.6663403902758</v>
      </c>
      <c r="I40" s="6"/>
      <c r="J40">
        <f t="shared" si="0"/>
        <v>3292.431</v>
      </c>
      <c r="K40" s="37"/>
      <c r="L40" s="6">
        <f t="shared" si="1"/>
        <v>3444</v>
      </c>
      <c r="M40" s="6">
        <f t="shared" si="2"/>
        <v>3444</v>
      </c>
      <c r="N40" s="6">
        <f t="shared" si="3"/>
        <v>11861136</v>
      </c>
      <c r="O40" s="22"/>
    </row>
    <row r="41" spans="1:15" x14ac:dyDescent="0.25">
      <c r="A41">
        <v>40</v>
      </c>
      <c r="B41" s="19">
        <v>44228</v>
      </c>
      <c r="C41" s="20">
        <v>3120.1</v>
      </c>
      <c r="D41" s="6">
        <f t="shared" si="4"/>
        <v>3338.0499999999997</v>
      </c>
      <c r="E41" s="6">
        <f t="shared" si="5"/>
        <v>3331.3458333333328</v>
      </c>
      <c r="F41" s="5">
        <f t="shared" si="6"/>
        <v>0.93658844085786164</v>
      </c>
      <c r="G41" s="23">
        <f t="shared" si="8"/>
        <v>0.93658844085786164</v>
      </c>
      <c r="H41" s="6">
        <f t="shared" ref="H41" si="28">C41/$G$17</f>
        <v>3337.6793571177404</v>
      </c>
      <c r="I41" s="6"/>
      <c r="J41">
        <f t="shared" si="0"/>
        <v>3306.06</v>
      </c>
      <c r="K41" s="37"/>
      <c r="L41" s="6">
        <f t="shared" si="1"/>
        <v>3120.1</v>
      </c>
      <c r="M41" s="6">
        <f t="shared" si="2"/>
        <v>3120.1</v>
      </c>
      <c r="N41" s="6">
        <f t="shared" si="3"/>
        <v>9735024.0099999998</v>
      </c>
      <c r="O41" s="22"/>
    </row>
    <row r="42" spans="1:15" x14ac:dyDescent="0.25">
      <c r="A42">
        <v>41</v>
      </c>
      <c r="B42" s="19">
        <v>44256</v>
      </c>
      <c r="C42" s="20">
        <v>3455.2</v>
      </c>
      <c r="D42" s="6">
        <f t="shared" si="4"/>
        <v>3356.4249999999997</v>
      </c>
      <c r="E42" s="6">
        <f t="shared" si="5"/>
        <v>3347.2374999999997</v>
      </c>
      <c r="F42" s="5">
        <f t="shared" si="6"/>
        <v>1.0322542096280889</v>
      </c>
      <c r="G42" s="23">
        <f t="shared" si="8"/>
        <v>1.0322542096280889</v>
      </c>
      <c r="H42" s="6">
        <f t="shared" ref="H42" si="29">C42/$G$18</f>
        <v>3405.7307054381176</v>
      </c>
      <c r="I42" s="6"/>
      <c r="J42">
        <f t="shared" si="0"/>
        <v>3319.6890000000003</v>
      </c>
      <c r="K42" s="37"/>
      <c r="L42" s="6">
        <f t="shared" si="1"/>
        <v>3455.2</v>
      </c>
      <c r="M42" s="6">
        <f t="shared" si="2"/>
        <v>3455.2</v>
      </c>
      <c r="N42" s="6">
        <f t="shared" si="3"/>
        <v>11938407.039999999</v>
      </c>
      <c r="O42" s="22"/>
    </row>
    <row r="43" spans="1:15" x14ac:dyDescent="0.25">
      <c r="A43">
        <v>42</v>
      </c>
      <c r="B43" s="19">
        <v>44287</v>
      </c>
      <c r="C43" s="20">
        <v>3295.1</v>
      </c>
      <c r="D43" s="6">
        <f>AVERAGE(C38:C49)</f>
        <v>3363.9833333333336</v>
      </c>
      <c r="E43" s="6">
        <f t="shared" si="5"/>
        <v>3360.2041666666664</v>
      </c>
      <c r="F43" s="5">
        <f t="shared" si="6"/>
        <v>0.9806249372247966</v>
      </c>
      <c r="G43" s="23">
        <f t="shared" si="8"/>
        <v>0.9806249372247966</v>
      </c>
      <c r="H43" s="6">
        <f>C43/$G$19</f>
        <v>3378.3810340148543</v>
      </c>
      <c r="I43" s="6"/>
      <c r="J43">
        <f t="shared" si="0"/>
        <v>3333.3180000000002</v>
      </c>
      <c r="K43" s="37"/>
      <c r="L43" s="6">
        <f t="shared" si="1"/>
        <v>3295.1</v>
      </c>
      <c r="M43" s="6">
        <f t="shared" si="2"/>
        <v>3295.1</v>
      </c>
      <c r="N43" s="6">
        <f t="shared" si="3"/>
        <v>10857684.01</v>
      </c>
      <c r="O43" s="22"/>
    </row>
    <row r="44" spans="1:15" x14ac:dyDescent="0.25">
      <c r="A44">
        <v>43</v>
      </c>
      <c r="B44" s="19">
        <v>44317</v>
      </c>
      <c r="C44" s="20">
        <v>3309.5</v>
      </c>
      <c r="H44" s="6">
        <f t="shared" ref="H44" si="30">C44/$G$8</f>
        <v>3282.9981683468427</v>
      </c>
      <c r="I44" s="6"/>
      <c r="J44">
        <f t="shared" si="0"/>
        <v>3346.9470000000001</v>
      </c>
      <c r="K44" s="37"/>
      <c r="L44" s="6">
        <f t="shared" si="1"/>
        <v>3309.5</v>
      </c>
      <c r="M44" s="6">
        <f t="shared" si="2"/>
        <v>3309.5</v>
      </c>
      <c r="N44" s="6">
        <f t="shared" si="3"/>
        <v>10952790.25</v>
      </c>
      <c r="O44" s="22"/>
    </row>
    <row r="45" spans="1:15" x14ac:dyDescent="0.25">
      <c r="A45">
        <v>44</v>
      </c>
      <c r="B45" s="19">
        <v>44348</v>
      </c>
      <c r="C45" s="20">
        <v>3209.5</v>
      </c>
      <c r="H45" s="6">
        <f t="shared" ref="H45" si="31">C45/$G$9</f>
        <v>3403.9738596794418</v>
      </c>
      <c r="I45" s="6"/>
      <c r="J45">
        <f t="shared" si="0"/>
        <v>3360.576</v>
      </c>
      <c r="K45" s="37"/>
      <c r="L45" s="6">
        <f t="shared" si="1"/>
        <v>3209.5</v>
      </c>
      <c r="M45" s="6">
        <f t="shared" si="2"/>
        <v>3209.5</v>
      </c>
      <c r="N45" s="6">
        <f t="shared" si="3"/>
        <v>10300890.25</v>
      </c>
      <c r="O45" s="22"/>
    </row>
    <row r="46" spans="1:15" x14ac:dyDescent="0.25">
      <c r="A46">
        <v>45</v>
      </c>
      <c r="B46" s="19">
        <v>44378</v>
      </c>
      <c r="C46" s="20">
        <v>3422</v>
      </c>
      <c r="F46" s="24" t="s">
        <v>30</v>
      </c>
      <c r="H46" s="6">
        <f t="shared" ref="H46" si="32">C46/$G$10</f>
        <v>3462.2622297743051</v>
      </c>
      <c r="I46" s="6"/>
      <c r="J46">
        <f t="shared" si="0"/>
        <v>3374.2049999999999</v>
      </c>
      <c r="K46" s="37"/>
      <c r="L46" s="6">
        <f t="shared" si="1"/>
        <v>3422</v>
      </c>
      <c r="M46" s="6">
        <f t="shared" si="2"/>
        <v>3422</v>
      </c>
      <c r="N46" s="6">
        <f t="shared" si="3"/>
        <v>11710084</v>
      </c>
      <c r="O46" s="22"/>
    </row>
    <row r="47" spans="1:15" x14ac:dyDescent="0.25">
      <c r="A47">
        <v>46</v>
      </c>
      <c r="B47" s="19">
        <v>44409</v>
      </c>
      <c r="C47" s="20">
        <v>3321.5</v>
      </c>
      <c r="E47" s="25" t="s">
        <v>34</v>
      </c>
      <c r="F47" s="25"/>
      <c r="G47" s="25"/>
      <c r="H47" s="6">
        <f t="shared" ref="H47" si="33">C47/$G$11</f>
        <v>3338.3484339358915</v>
      </c>
      <c r="I47" s="6"/>
      <c r="J47">
        <f t="shared" si="0"/>
        <v>3387.8339999999998</v>
      </c>
      <c r="K47" s="37"/>
      <c r="L47" s="6">
        <f t="shared" si="1"/>
        <v>3321.5</v>
      </c>
      <c r="M47" s="6">
        <f t="shared" si="2"/>
        <v>3321.5</v>
      </c>
      <c r="N47" s="6">
        <f t="shared" si="3"/>
        <v>11032362.25</v>
      </c>
      <c r="O47" s="22"/>
    </row>
    <row r="48" spans="1:15" x14ac:dyDescent="0.25">
      <c r="A48">
        <v>47</v>
      </c>
      <c r="B48" s="19">
        <v>44440</v>
      </c>
      <c r="C48" s="20">
        <v>3369.4</v>
      </c>
      <c r="E48" s="25" t="s">
        <v>35</v>
      </c>
      <c r="F48" s="25"/>
      <c r="G48" s="25"/>
      <c r="H48" s="6">
        <f t="shared" ref="H48" si="34">C48/$G$12</f>
        <v>3502.596973441232</v>
      </c>
      <c r="I48" s="6"/>
      <c r="J48">
        <f t="shared" si="0"/>
        <v>3401.4630000000002</v>
      </c>
      <c r="K48" s="37"/>
      <c r="L48" s="6">
        <f t="shared" si="1"/>
        <v>3369.4</v>
      </c>
      <c r="M48" s="6">
        <f t="shared" si="2"/>
        <v>3369.4</v>
      </c>
      <c r="N48" s="6">
        <f t="shared" si="3"/>
        <v>11352856.360000001</v>
      </c>
      <c r="O48" s="22"/>
    </row>
    <row r="49" spans="1:15" x14ac:dyDescent="0.25">
      <c r="A49">
        <v>48</v>
      </c>
      <c r="B49" s="19">
        <v>44470</v>
      </c>
      <c r="C49" s="20">
        <v>3514.9</v>
      </c>
      <c r="H49" s="6">
        <f>C49/$G$13</f>
        <v>3385.9275664977145</v>
      </c>
      <c r="I49" s="6"/>
      <c r="J49">
        <f t="shared" si="0"/>
        <v>3415.0920000000001</v>
      </c>
      <c r="K49" s="37"/>
      <c r="L49" s="6">
        <f t="shared" si="1"/>
        <v>3514.9</v>
      </c>
      <c r="M49" s="6">
        <f t="shared" si="2"/>
        <v>3514.9</v>
      </c>
      <c r="N49" s="6">
        <f t="shared" si="3"/>
        <v>12354522.01</v>
      </c>
      <c r="O49" s="22"/>
    </row>
    <row r="50" spans="1:15" x14ac:dyDescent="0.25">
      <c r="A50" s="26">
        <v>49</v>
      </c>
      <c r="B50" s="19">
        <v>44501</v>
      </c>
      <c r="C50" s="27"/>
      <c r="D50" s="28"/>
      <c r="E50" s="28"/>
      <c r="F50" s="28"/>
      <c r="G50" s="28"/>
      <c r="H50" s="21"/>
      <c r="I50" s="29">
        <v>3429.9423613919398</v>
      </c>
      <c r="J50">
        <f t="shared" si="0"/>
        <v>3428.721</v>
      </c>
      <c r="K50" s="34">
        <f>$G$14*J50</f>
        <v>3439.5107682964181</v>
      </c>
      <c r="L50" s="6"/>
    </row>
    <row r="51" spans="1:15" x14ac:dyDescent="0.25">
      <c r="A51" s="26">
        <v>50</v>
      </c>
      <c r="B51" s="19">
        <v>44531</v>
      </c>
      <c r="C51" s="27"/>
      <c r="D51" s="28"/>
      <c r="E51" s="28"/>
      <c r="F51" s="28" t="s">
        <v>36</v>
      </c>
      <c r="G51" s="28"/>
      <c r="H51" s="21"/>
      <c r="I51" s="29">
        <v>3443.60191358367</v>
      </c>
      <c r="J51">
        <f t="shared" si="0"/>
        <v>3442.35</v>
      </c>
      <c r="K51" s="31">
        <f t="shared" ref="K51" si="35">$G$15*J51</f>
        <v>3809.4289606455295</v>
      </c>
    </row>
    <row r="52" spans="1:15" x14ac:dyDescent="0.25">
      <c r="A52" s="26">
        <v>51</v>
      </c>
      <c r="B52" s="19">
        <v>44562</v>
      </c>
      <c r="C52" s="27"/>
      <c r="D52" s="28"/>
      <c r="E52" s="28"/>
      <c r="F52" s="28"/>
      <c r="G52" s="28"/>
      <c r="H52" s="21"/>
      <c r="I52" s="29">
        <v>3457.2614657753902</v>
      </c>
      <c r="J52">
        <f t="shared" si="0"/>
        <v>3455.9790000000003</v>
      </c>
      <c r="K52" s="31">
        <f t="shared" ref="K52" si="36">$G$16*J52</f>
        <v>3591.9101241189437</v>
      </c>
      <c r="M52" s="32" t="s">
        <v>4</v>
      </c>
      <c r="N52" s="32" t="s">
        <v>5</v>
      </c>
      <c r="O52" s="32"/>
    </row>
    <row r="53" spans="1:15" x14ac:dyDescent="0.25">
      <c r="A53" s="26">
        <v>52</v>
      </c>
      <c r="B53" s="19">
        <v>44593</v>
      </c>
      <c r="C53" s="27"/>
      <c r="D53" s="28"/>
      <c r="E53" s="28"/>
      <c r="F53" s="28"/>
      <c r="G53" s="28"/>
      <c r="H53" s="21"/>
      <c r="I53" s="29">
        <v>3470.9210179671099</v>
      </c>
      <c r="J53">
        <f t="shared" si="0"/>
        <v>3469.6080000000002</v>
      </c>
      <c r="K53" s="31">
        <f t="shared" ref="K53" si="37">$G$17*J53</f>
        <v>3243.4283711867406</v>
      </c>
      <c r="M53">
        <f>AVERAGE(M2:M49)</f>
        <v>3096.4854166666669</v>
      </c>
      <c r="N53">
        <f t="shared" ref="N53" si="38">AVERAGE(N2:N49)</f>
        <v>9641087.5414583329</v>
      </c>
    </row>
    <row r="54" spans="1:15" x14ac:dyDescent="0.25">
      <c r="A54" s="26">
        <v>53</v>
      </c>
      <c r="B54" s="19">
        <v>44621</v>
      </c>
      <c r="C54" s="27"/>
      <c r="D54" s="28"/>
      <c r="E54" s="28" t="s">
        <v>37</v>
      </c>
      <c r="F54" s="28"/>
      <c r="G54" s="28"/>
      <c r="H54" s="21"/>
      <c r="I54" s="29">
        <v>3484.5805701588401</v>
      </c>
      <c r="J54">
        <f t="shared" si="0"/>
        <v>3483.2370000000001</v>
      </c>
      <c r="K54" s="31">
        <f t="shared" ref="K54" si="39">$G$18*J54</f>
        <v>3533.8320975239189</v>
      </c>
    </row>
    <row r="55" spans="1:15" x14ac:dyDescent="0.25">
      <c r="A55" s="26">
        <v>54</v>
      </c>
      <c r="B55" s="19">
        <v>44652</v>
      </c>
      <c r="C55" s="27"/>
      <c r="D55" s="28"/>
      <c r="E55" s="28" t="s">
        <v>38</v>
      </c>
      <c r="F55" s="28"/>
      <c r="G55" s="28"/>
      <c r="H55" s="21"/>
      <c r="I55" s="29">
        <v>3498.2401223505599</v>
      </c>
      <c r="J55">
        <f t="shared" si="0"/>
        <v>3496.866</v>
      </c>
      <c r="K55" s="31">
        <f t="shared" ref="K55" si="40">$G$19*J55</f>
        <v>3410.6641733382808</v>
      </c>
      <c r="N55" s="32" t="s">
        <v>6</v>
      </c>
    </row>
    <row r="56" spans="1:15" x14ac:dyDescent="0.25">
      <c r="A56" s="26">
        <v>55</v>
      </c>
      <c r="B56" s="19">
        <v>44682</v>
      </c>
      <c r="C56" s="27"/>
      <c r="D56" s="28"/>
      <c r="E56" s="28" t="s">
        <v>39</v>
      </c>
      <c r="F56" s="28"/>
      <c r="G56" s="28"/>
      <c r="H56" s="21"/>
      <c r="I56" s="29">
        <v>3511.8996745422801</v>
      </c>
      <c r="J56">
        <f t="shared" si="0"/>
        <v>3510.4949999999999</v>
      </c>
      <c r="K56" s="31">
        <f t="shared" ref="K56" si="41">$G$8*J56</f>
        <v>3538.8332879729405</v>
      </c>
      <c r="N56">
        <f>N53^0.5</f>
        <v>3105.0100710719657</v>
      </c>
    </row>
    <row r="57" spans="1:15" x14ac:dyDescent="0.25">
      <c r="A57" s="26">
        <v>56</v>
      </c>
      <c r="B57" s="19">
        <v>44713</v>
      </c>
      <c r="C57" s="27"/>
      <c r="D57" s="28"/>
      <c r="E57" s="28" t="s">
        <v>40</v>
      </c>
      <c r="F57" s="28"/>
      <c r="G57" s="28"/>
      <c r="H57" s="21"/>
      <c r="I57" s="29">
        <v>3525.5592267340098</v>
      </c>
      <c r="J57">
        <f t="shared" si="0"/>
        <v>3524.1239999999998</v>
      </c>
      <c r="K57" s="31">
        <f t="shared" ref="K57" si="42">$G$9*J57</f>
        <v>3322.785792210856</v>
      </c>
    </row>
    <row r="58" spans="1:15" x14ac:dyDescent="0.25">
      <c r="A58" s="26">
        <v>57</v>
      </c>
      <c r="B58" s="19">
        <v>44743</v>
      </c>
      <c r="C58" s="27"/>
      <c r="D58" s="28"/>
      <c r="E58" s="28" t="s">
        <v>41</v>
      </c>
      <c r="F58" s="28"/>
      <c r="G58" s="28"/>
      <c r="H58" s="21"/>
      <c r="I58" s="29">
        <v>3539.21877892573</v>
      </c>
      <c r="J58">
        <f t="shared" si="0"/>
        <v>3537.7530000000002</v>
      </c>
      <c r="K58" s="31">
        <f t="shared" ref="K58" si="43">$G$10*J58</f>
        <v>3496.6128971661306</v>
      </c>
    </row>
    <row r="59" spans="1:15" x14ac:dyDescent="0.25">
      <c r="A59" s="26">
        <v>58</v>
      </c>
      <c r="B59" s="19">
        <v>44774</v>
      </c>
      <c r="C59" s="33"/>
      <c r="D59" s="28"/>
      <c r="E59" s="28" t="s">
        <v>42</v>
      </c>
      <c r="F59" s="28"/>
      <c r="G59" s="28"/>
      <c r="H59" s="21"/>
      <c r="I59" s="29">
        <v>3552.8783311174502</v>
      </c>
      <c r="J59">
        <f t="shared" si="0"/>
        <v>3551.3820000000001</v>
      </c>
      <c r="K59" s="31">
        <f t="shared" ref="K59" si="44">$G$11*J59</f>
        <v>3533.4583990960737</v>
      </c>
    </row>
    <row r="60" spans="1:15" x14ac:dyDescent="0.25">
      <c r="A60" s="26">
        <v>59</v>
      </c>
      <c r="B60" s="19">
        <v>44805</v>
      </c>
      <c r="C60" s="27"/>
      <c r="D60" s="30"/>
      <c r="E60" s="30" t="s">
        <v>43</v>
      </c>
      <c r="F60" s="30"/>
      <c r="G60" s="30"/>
      <c r="H60" s="30"/>
      <c r="I60" s="29">
        <v>3566.53788330918</v>
      </c>
      <c r="J60">
        <f t="shared" si="0"/>
        <v>3565.011</v>
      </c>
      <c r="K60" s="31">
        <f t="shared" ref="K60" si="45">$G$12*J60</f>
        <v>3429.4405421125284</v>
      </c>
      <c r="M60" t="s">
        <v>44</v>
      </c>
    </row>
    <row r="61" spans="1:15" x14ac:dyDescent="0.25">
      <c r="A61" s="26">
        <v>60</v>
      </c>
      <c r="B61" s="19">
        <v>44835</v>
      </c>
      <c r="C61" s="27"/>
      <c r="D61" s="28"/>
      <c r="E61" s="28"/>
      <c r="F61" s="28"/>
      <c r="G61" s="28"/>
      <c r="H61" s="21"/>
      <c r="I61" s="29">
        <v>3580.1974355009002</v>
      </c>
      <c r="J61">
        <f t="shared" si="0"/>
        <v>3578.6400000000003</v>
      </c>
      <c r="K61" s="31">
        <f t="shared" ref="K61" si="46">$G$13*J61</f>
        <v>3714.9529896798199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705EAD-8429-461C-A7BD-5334CD5BCE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C7D35-D3CF-4873-8A61-3B75DE264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06810-6090-41B7-A3C4-61FC7316193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47</vt:i4>
      </vt:variant>
    </vt:vector>
  </HeadingPairs>
  <TitlesOfParts>
    <vt:vector size="50" baseType="lpstr">
      <vt:lpstr>DeSeas Turnover</vt:lpstr>
      <vt:lpstr>Raw Turnover</vt:lpstr>
      <vt:lpstr>Sales</vt:lpstr>
      <vt:lpstr>'DeSeas Turnover'!A3348582J_Data</vt:lpstr>
      <vt:lpstr>'DeSeas Turnover'!A3348582J_Latest</vt:lpstr>
      <vt:lpstr>'DeSeas Turnover'!A3348588W</vt:lpstr>
      <vt:lpstr>'DeSeas Turnover'!A3348588W_Data</vt:lpstr>
      <vt:lpstr>'DeSeas Turnover'!A3348588W_Latest</vt:lpstr>
      <vt:lpstr>'DeSeas Turnover'!A3348594T</vt:lpstr>
      <vt:lpstr>'DeSeas Turnover'!A3348594T_Data</vt:lpstr>
      <vt:lpstr>'DeSeas Turnover'!A3348594T_Latest</vt:lpstr>
      <vt:lpstr>'DeSeas Turnover'!A3348597X</vt:lpstr>
      <vt:lpstr>'DeSeas Turnover'!A3348597X_Data</vt:lpstr>
      <vt:lpstr>'DeSeas Turnover'!A3348597X_Latest</vt:lpstr>
      <vt:lpstr>'DeSeas Turnover'!A3348600A</vt:lpstr>
      <vt:lpstr>'DeSeas Turnover'!A3348600A_Data</vt:lpstr>
      <vt:lpstr>'DeSeas Turnover'!A3348600A_Latest</vt:lpstr>
      <vt:lpstr>'DeSeas Turnover'!A3348603J_Data</vt:lpstr>
      <vt:lpstr>'DeSeas Turnover'!A3348603J_Latest</vt:lpstr>
      <vt:lpstr>'DeSeas Turnover'!A3348606R</vt:lpstr>
      <vt:lpstr>'DeSeas Turnover'!A3348606R_Data</vt:lpstr>
      <vt:lpstr>'DeSeas Turnover'!A3348606R_Latest</vt:lpstr>
      <vt:lpstr>'DeSeas Turnover'!A3348609W</vt:lpstr>
      <vt:lpstr>'DeSeas Turnover'!A3348609W_Data</vt:lpstr>
      <vt:lpstr>'DeSeas Turnover'!A3348609W_Latest</vt:lpstr>
      <vt:lpstr>'DeSeas Turnover'!A3348612K</vt:lpstr>
      <vt:lpstr>'DeSeas Turnover'!A3348612K_Data</vt:lpstr>
      <vt:lpstr>'DeSeas Turnover'!A3348612K_Latest</vt:lpstr>
      <vt:lpstr>'DeSeas Turnover'!A3348615T</vt:lpstr>
      <vt:lpstr>'DeSeas Turnover'!A3348615T_Data</vt:lpstr>
      <vt:lpstr>'DeSeas Turnover'!A3348615T_Latest</vt:lpstr>
      <vt:lpstr>'DeSeas Turnover'!A3348618X</vt:lpstr>
      <vt:lpstr>'DeSeas Turnover'!A3348618X_Data</vt:lpstr>
      <vt:lpstr>'DeSeas Turnover'!A3348618X_Latest</vt:lpstr>
      <vt:lpstr>'DeSeas Turnover'!A3348624V</vt:lpstr>
      <vt:lpstr>'DeSeas Turnover'!A3348624V_Data</vt:lpstr>
      <vt:lpstr>'DeSeas Turnover'!A3348624V_Latest</vt:lpstr>
      <vt:lpstr>'DeSeas Turnover'!A3348627A</vt:lpstr>
      <vt:lpstr>'DeSeas Turnover'!A3348627A_Data</vt:lpstr>
      <vt:lpstr>'DeSeas Turnover'!A3348627A_Latest</vt:lpstr>
      <vt:lpstr>'DeSeas Turnover'!A3348633W</vt:lpstr>
      <vt:lpstr>'DeSeas Turnover'!A3348633W_Data</vt:lpstr>
      <vt:lpstr>'DeSeas Turnover'!A3348633W_Latest</vt:lpstr>
      <vt:lpstr>'DeSeas Turnover'!A3348636C</vt:lpstr>
      <vt:lpstr>'DeSeas Turnover'!A3348636C_Data</vt:lpstr>
      <vt:lpstr>'DeSeas Turnover'!A3348636C_Latest</vt:lpstr>
      <vt:lpstr>'DeSeas Turnover'!A3348642X</vt:lpstr>
      <vt:lpstr>'DeSeas Turnover'!A3348642X_Data</vt:lpstr>
      <vt:lpstr>'DeSeas Turnover'!A3348642X_Latest</vt:lpstr>
      <vt:lpstr>'DeSeas Turnover'!Date_Range_Data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2020-07-29T23:57:35Z</dcterms:created>
  <dcterms:modified xsi:type="dcterms:W3CDTF">2025-12-22T10:46:51Z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