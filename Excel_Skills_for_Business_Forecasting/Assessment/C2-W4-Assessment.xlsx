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2\"/>
    </mc:Choice>
  </mc:AlternateContent>
  <xr:revisionPtr revIDLastSave="0" documentId="13_ncr:1_{18EFCEB7-5FE7-4133-B5CD-FCDD3360DF57}" xr6:coauthVersionLast="47" xr6:coauthVersionMax="47" xr10:uidLastSave="{00000000-0000-0000-0000-000000000000}"/>
  <bookViews>
    <workbookView xWindow="3105" yWindow="3120" windowWidth="21600" windowHeight="11835" xr2:uid="{00000000-000D-0000-FFFF-FFFF00000000}"/>
  </bookViews>
  <sheets>
    <sheet name="Original" sheetId="17" r:id="rId1"/>
  </sheets>
  <definedNames>
    <definedName name="A3348582J">#REF!,#REF!</definedName>
    <definedName name="A3348582J_Data">#REF!</definedName>
    <definedName name="A3348582J_Latest">#REF!</definedName>
    <definedName name="A3348585R">#REF!,#REF!</definedName>
    <definedName name="A3348585R_Data">#REF!</definedName>
    <definedName name="A3348585R_Latest">#REF!</definedName>
    <definedName name="A3348588W">#REF!,#REF!</definedName>
    <definedName name="A3348588W_Data">#REF!</definedName>
    <definedName name="A3348588W_Latest">#REF!</definedName>
    <definedName name="A3348591K">#REF!,#REF!</definedName>
    <definedName name="A3348591K_Data">#REF!</definedName>
    <definedName name="A3348591K_Latest">#REF!</definedName>
    <definedName name="A3348594T">#REF!,#REF!</definedName>
    <definedName name="A3348594T_Data">#REF!</definedName>
    <definedName name="A3348594T_Latest">#REF!</definedName>
    <definedName name="A3348597X">#REF!,#REF!</definedName>
    <definedName name="A3348597X_Data">#REF!</definedName>
    <definedName name="A3348597X_Latest">#REF!</definedName>
    <definedName name="A3348600A">#REF!,#REF!</definedName>
    <definedName name="A3348600A_Data">#REF!</definedName>
    <definedName name="A3348600A_Latest">#REF!</definedName>
    <definedName name="A3348603J">#REF!,#REF!</definedName>
    <definedName name="A3348603J_Data">#REF!</definedName>
    <definedName name="A3348603J_Latest">#REF!</definedName>
    <definedName name="A3348606R">#REF!,#REF!</definedName>
    <definedName name="A3348606R_Data">#REF!</definedName>
    <definedName name="A3348606R_Latest">#REF!</definedName>
    <definedName name="A3348609W">#REF!,#REF!</definedName>
    <definedName name="A3348609W_Data">#REF!</definedName>
    <definedName name="A3348609W_Latest">#REF!</definedName>
    <definedName name="A3348612K">#REF!,#REF!</definedName>
    <definedName name="A3348612K_Data">#REF!</definedName>
    <definedName name="A3348612K_Latest">#REF!</definedName>
    <definedName name="A3348615T">#REF!,#REF!</definedName>
    <definedName name="A3348615T_Data">#REF!</definedName>
    <definedName name="A3348615T_Latest">#REF!</definedName>
    <definedName name="A3348618X">#REF!,#REF!</definedName>
    <definedName name="A3348618X_Data">#REF!</definedName>
    <definedName name="A3348618X_Latest">#REF!</definedName>
    <definedName name="A3348621L">#REF!,#REF!</definedName>
    <definedName name="A3348621L_Data">#REF!</definedName>
    <definedName name="A3348621L_Latest">#REF!</definedName>
    <definedName name="A3348624V">#REF!,#REF!</definedName>
    <definedName name="A3348624V_Data">#REF!</definedName>
    <definedName name="A3348624V_Latest">#REF!</definedName>
    <definedName name="A3348627A">#REF!,#REF!</definedName>
    <definedName name="A3348627A_Data">#REF!</definedName>
    <definedName name="A3348627A_Latest">#REF!</definedName>
    <definedName name="A3348630R">#REF!,#REF!</definedName>
    <definedName name="A3348630R_Data">#REF!</definedName>
    <definedName name="A3348630R_Latest">#REF!</definedName>
    <definedName name="A3348633W">#REF!,#REF!</definedName>
    <definedName name="A3348633W_Data">#REF!</definedName>
    <definedName name="A3348633W_Latest">#REF!</definedName>
    <definedName name="A3348636C">#REF!,#REF!</definedName>
    <definedName name="A3348636C_Data">#REF!</definedName>
    <definedName name="A3348636C_Latest">#REF!</definedName>
    <definedName name="A3348639K">#REF!,#REF!</definedName>
    <definedName name="A3348639K_Data">#REF!</definedName>
    <definedName name="A3348639K_Latest">#REF!</definedName>
    <definedName name="A3348642X">#REF!,#REF!</definedName>
    <definedName name="A3348642X_Data">#REF!</definedName>
    <definedName name="A3348642X_Latest">#REF!</definedName>
    <definedName name="Date_Range">#REF!,#REF!</definedName>
    <definedName name="Date_Range_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3" i="17" l="1"/>
  <c r="D124" i="17"/>
  <c r="D125" i="17"/>
  <c r="D126" i="17"/>
  <c r="D127" i="17"/>
  <c r="D128" i="17"/>
  <c r="D129" i="17"/>
  <c r="D130" i="17"/>
  <c r="D131" i="17"/>
  <c r="D132" i="17"/>
  <c r="D133" i="17"/>
  <c r="D122" i="17"/>
</calcChain>
</file>

<file path=xl/sharedStrings.xml><?xml version="1.0" encoding="utf-8"?>
<sst xmlns="http://schemas.openxmlformats.org/spreadsheetml/2006/main" count="70" uniqueCount="43">
  <si>
    <t>Forecast</t>
  </si>
  <si>
    <t>Date</t>
  </si>
  <si>
    <t>Time</t>
  </si>
  <si>
    <t>Turnover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</si>
  <si>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</si>
  <si>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</si>
  <si>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</si>
  <si>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</si>
  <si>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</si>
  <si>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</si>
  <si>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</si>
  <si>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</si>
  <si>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</si>
  <si>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</si>
  <si>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</si>
  <si>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</si>
  <si>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</si>
  <si>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</si>
  <si>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</si>
  <si>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</si>
  <si>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</si>
  <si>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</si>
  <si>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</si>
  <si>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</si>
  <si>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</si>
  <si>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</si>
  <si>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</si>
  <si>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</si>
  <si>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</si>
  <si>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</si>
  <si>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</si>
  <si>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</si>
  <si>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</si>
  <si>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</si>
  <si>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</si>
  <si>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</si>
  <si>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</si>
  <si>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</si>
  <si>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</si>
  <si>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</si>
  <si>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</si>
  <si>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Turnover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</si>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</sst>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0" applyNumberFormat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77537182852144"/>
          <c:y val="0.1902314814814815"/>
          <c:w val="0.84589129483814518"/>
          <c:h val="0.70841097987751533"/>
        </c:manualLayout>
      </c:layout>
      <c:lineChart>
        <c:grouping val="standard"/>
        <c:varyColors val="0"/>
        <c:ser>
          <c:idx val="0"/>
          <c:order val="0"/>
          <c:tx>
            <c:strRef>
              <c:f>Original!$C$1</c:f>
              <c:strCache>
                <c:ptCount val="1"/>
                <c:pt idx="0">
                  <c:v>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278105861767279"/>
                  <c:y val="-0.165071813939924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Original!$C$2:$C$121</c:f>
              <c:numCache>
                <c:formatCode>0.0;\-0.0;0.0;@</c:formatCode>
                <c:ptCount val="120"/>
                <c:pt idx="0">
                  <c:v>8093.4</c:v>
                </c:pt>
                <c:pt idx="1">
                  <c:v>7243.1</c:v>
                </c:pt>
                <c:pt idx="2">
                  <c:v>8017.8</c:v>
                </c:pt>
                <c:pt idx="3">
                  <c:v>7835.6</c:v>
                </c:pt>
                <c:pt idx="4">
                  <c:v>7887.6</c:v>
                </c:pt>
                <c:pt idx="5">
                  <c:v>7527.9</c:v>
                </c:pt>
                <c:pt idx="6">
                  <c:v>8044.4</c:v>
                </c:pt>
                <c:pt idx="7">
                  <c:v>7924.7</c:v>
                </c:pt>
                <c:pt idx="8">
                  <c:v>7855.4</c:v>
                </c:pt>
                <c:pt idx="9">
                  <c:v>8239.5</c:v>
                </c:pt>
                <c:pt idx="10">
                  <c:v>8288.1</c:v>
                </c:pt>
                <c:pt idx="11">
                  <c:v>9491.7999999999993</c:v>
                </c:pt>
                <c:pt idx="12">
                  <c:v>8403.6</c:v>
                </c:pt>
                <c:pt idx="13">
                  <c:v>7649.6</c:v>
                </c:pt>
                <c:pt idx="14">
                  <c:v>8285</c:v>
                </c:pt>
                <c:pt idx="15">
                  <c:v>8211.2999999999993</c:v>
                </c:pt>
                <c:pt idx="16">
                  <c:v>8059</c:v>
                </c:pt>
                <c:pt idx="17">
                  <c:v>7878.3</c:v>
                </c:pt>
                <c:pt idx="18">
                  <c:v>8315.2000000000007</c:v>
                </c:pt>
                <c:pt idx="19">
                  <c:v>8360.2999999999993</c:v>
                </c:pt>
                <c:pt idx="20">
                  <c:v>8274.2000000000007</c:v>
                </c:pt>
                <c:pt idx="21">
                  <c:v>8606.2999999999993</c:v>
                </c:pt>
                <c:pt idx="22">
                  <c:v>8569.9</c:v>
                </c:pt>
                <c:pt idx="23">
                  <c:v>9936</c:v>
                </c:pt>
                <c:pt idx="24">
                  <c:v>8534.7999999999993</c:v>
                </c:pt>
                <c:pt idx="25">
                  <c:v>8119.1</c:v>
                </c:pt>
                <c:pt idx="26">
                  <c:v>8736.6</c:v>
                </c:pt>
                <c:pt idx="27">
                  <c:v>8399.2000000000007</c:v>
                </c:pt>
                <c:pt idx="28">
                  <c:v>8450.7000000000007</c:v>
                </c:pt>
                <c:pt idx="29">
                  <c:v>8269.7000000000007</c:v>
                </c:pt>
                <c:pt idx="30">
                  <c:v>8500.4</c:v>
                </c:pt>
                <c:pt idx="31">
                  <c:v>8787.9</c:v>
                </c:pt>
                <c:pt idx="32">
                  <c:v>8582.7999999999993</c:v>
                </c:pt>
                <c:pt idx="33">
                  <c:v>8982</c:v>
                </c:pt>
                <c:pt idx="34">
                  <c:v>9048.5</c:v>
                </c:pt>
                <c:pt idx="35">
                  <c:v>10262.1</c:v>
                </c:pt>
                <c:pt idx="36">
                  <c:v>9067.6</c:v>
                </c:pt>
                <c:pt idx="37">
                  <c:v>8264.7999999999993</c:v>
                </c:pt>
                <c:pt idx="38">
                  <c:v>9272</c:v>
                </c:pt>
                <c:pt idx="39">
                  <c:v>8614.9</c:v>
                </c:pt>
                <c:pt idx="40">
                  <c:v>8876.5</c:v>
                </c:pt>
                <c:pt idx="41">
                  <c:v>8516.9</c:v>
                </c:pt>
                <c:pt idx="42">
                  <c:v>8855.7999999999993</c:v>
                </c:pt>
                <c:pt idx="43">
                  <c:v>9188.1</c:v>
                </c:pt>
                <c:pt idx="44">
                  <c:v>8839.1</c:v>
                </c:pt>
                <c:pt idx="45">
                  <c:v>9338.4</c:v>
                </c:pt>
                <c:pt idx="46">
                  <c:v>9345.9</c:v>
                </c:pt>
                <c:pt idx="47">
                  <c:v>10856.4</c:v>
                </c:pt>
                <c:pt idx="48">
                  <c:v>9701.6</c:v>
                </c:pt>
                <c:pt idx="49">
                  <c:v>8667.9</c:v>
                </c:pt>
                <c:pt idx="50">
                  <c:v>9524.6</c:v>
                </c:pt>
                <c:pt idx="51">
                  <c:v>9223.9</c:v>
                </c:pt>
                <c:pt idx="52">
                  <c:v>9386</c:v>
                </c:pt>
                <c:pt idx="53">
                  <c:v>8977.5</c:v>
                </c:pt>
                <c:pt idx="54">
                  <c:v>9393.2999999999993</c:v>
                </c:pt>
                <c:pt idx="55">
                  <c:v>9582.4</c:v>
                </c:pt>
                <c:pt idx="56">
                  <c:v>9353.7999999999993</c:v>
                </c:pt>
                <c:pt idx="57">
                  <c:v>9964.4</c:v>
                </c:pt>
                <c:pt idx="58">
                  <c:v>9911.1</c:v>
                </c:pt>
                <c:pt idx="59">
                  <c:v>11271.6</c:v>
                </c:pt>
                <c:pt idx="60">
                  <c:v>9955.4</c:v>
                </c:pt>
                <c:pt idx="61">
                  <c:v>9020</c:v>
                </c:pt>
                <c:pt idx="62">
                  <c:v>9926.5</c:v>
                </c:pt>
                <c:pt idx="63">
                  <c:v>9538</c:v>
                </c:pt>
                <c:pt idx="64">
                  <c:v>9707.1</c:v>
                </c:pt>
                <c:pt idx="65">
                  <c:v>9217.7999999999993</c:v>
                </c:pt>
                <c:pt idx="66">
                  <c:v>9718</c:v>
                </c:pt>
                <c:pt idx="67">
                  <c:v>9834.7999999999993</c:v>
                </c:pt>
                <c:pt idx="68">
                  <c:v>9645.7999999999993</c:v>
                </c:pt>
                <c:pt idx="69">
                  <c:v>10319.200000000001</c:v>
                </c:pt>
                <c:pt idx="70">
                  <c:v>10128.5</c:v>
                </c:pt>
                <c:pt idx="71">
                  <c:v>11731.2</c:v>
                </c:pt>
                <c:pt idx="72">
                  <c:v>10244.9</c:v>
                </c:pt>
                <c:pt idx="73">
                  <c:v>9556.9</c:v>
                </c:pt>
                <c:pt idx="74">
                  <c:v>10354</c:v>
                </c:pt>
                <c:pt idx="75">
                  <c:v>9727.9</c:v>
                </c:pt>
                <c:pt idx="76">
                  <c:v>9815.2000000000007</c:v>
                </c:pt>
                <c:pt idx="77">
                  <c:v>9516.5</c:v>
                </c:pt>
                <c:pt idx="78">
                  <c:v>9928.5</c:v>
                </c:pt>
                <c:pt idx="79">
                  <c:v>10041.9</c:v>
                </c:pt>
                <c:pt idx="80">
                  <c:v>10005.700000000001</c:v>
                </c:pt>
                <c:pt idx="81">
                  <c:v>10482.6</c:v>
                </c:pt>
                <c:pt idx="82">
                  <c:v>10435.700000000001</c:v>
                </c:pt>
                <c:pt idx="83">
                  <c:v>12230.1</c:v>
                </c:pt>
                <c:pt idx="84">
                  <c:v>10431.5</c:v>
                </c:pt>
                <c:pt idx="85">
                  <c:v>9574.6</c:v>
                </c:pt>
                <c:pt idx="86">
                  <c:v>10510.3</c:v>
                </c:pt>
                <c:pt idx="87">
                  <c:v>10274.1</c:v>
                </c:pt>
                <c:pt idx="88">
                  <c:v>10189.700000000001</c:v>
                </c:pt>
                <c:pt idx="89">
                  <c:v>9857.6</c:v>
                </c:pt>
                <c:pt idx="90">
                  <c:v>10272.799999999999</c:v>
                </c:pt>
                <c:pt idx="91">
                  <c:v>10363.700000000001</c:v>
                </c:pt>
                <c:pt idx="92">
                  <c:v>10307.9</c:v>
                </c:pt>
                <c:pt idx="93">
                  <c:v>10710.9</c:v>
                </c:pt>
                <c:pt idx="94">
                  <c:v>10780.7</c:v>
                </c:pt>
                <c:pt idx="95">
                  <c:v>12552.1</c:v>
                </c:pt>
                <c:pt idx="96">
                  <c:v>10713.3</c:v>
                </c:pt>
                <c:pt idx="97">
                  <c:v>9833.2000000000007</c:v>
                </c:pt>
                <c:pt idx="98">
                  <c:v>11188.4</c:v>
                </c:pt>
                <c:pt idx="99">
                  <c:v>10354.1</c:v>
                </c:pt>
                <c:pt idx="100">
                  <c:v>10645.2</c:v>
                </c:pt>
                <c:pt idx="101">
                  <c:v>10268.200000000001</c:v>
                </c:pt>
                <c:pt idx="102">
                  <c:v>10604.4</c:v>
                </c:pt>
                <c:pt idx="103">
                  <c:v>10852.2</c:v>
                </c:pt>
                <c:pt idx="104">
                  <c:v>10713.8</c:v>
                </c:pt>
                <c:pt idx="105">
                  <c:v>11126.1</c:v>
                </c:pt>
                <c:pt idx="106">
                  <c:v>11214.7</c:v>
                </c:pt>
                <c:pt idx="107">
                  <c:v>13037.6</c:v>
                </c:pt>
                <c:pt idx="108">
                  <c:v>11253.8</c:v>
                </c:pt>
                <c:pt idx="109">
                  <c:v>10308.6</c:v>
                </c:pt>
                <c:pt idx="110">
                  <c:v>11405.1</c:v>
                </c:pt>
                <c:pt idx="111">
                  <c:v>10964.8</c:v>
                </c:pt>
                <c:pt idx="112">
                  <c:v>11024.2</c:v>
                </c:pt>
                <c:pt idx="113">
                  <c:v>10587.6</c:v>
                </c:pt>
                <c:pt idx="114">
                  <c:v>10949.7</c:v>
                </c:pt>
                <c:pt idx="115">
                  <c:v>11294.6</c:v>
                </c:pt>
                <c:pt idx="116">
                  <c:v>10946.6</c:v>
                </c:pt>
                <c:pt idx="117">
                  <c:v>11565.4</c:v>
                </c:pt>
                <c:pt idx="118">
                  <c:v>11643.3</c:v>
                </c:pt>
                <c:pt idx="119">
                  <c:v>13292.7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E-4747-8902-3D28322597E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Original!$D$2:$D$133</c:f>
              <c:numCache>
                <c:formatCode>General</c:formatCode>
                <c:ptCount val="132"/>
                <c:pt idx="0">
                  <c:v>8029.6340909090886</c:v>
                </c:pt>
                <c:pt idx="1">
                  <c:v>7213.4240909090877</c:v>
                </c:pt>
                <c:pt idx="2">
                  <c:v>8111.6740909090895</c:v>
                </c:pt>
                <c:pt idx="3">
                  <c:v>7704.024090909088</c:v>
                </c:pt>
                <c:pt idx="4">
                  <c:v>7793.7640909090887</c:v>
                </c:pt>
                <c:pt idx="5">
                  <c:v>7451.4440909090881</c:v>
                </c:pt>
                <c:pt idx="6">
                  <c:v>7847.8940909090888</c:v>
                </c:pt>
                <c:pt idx="7">
                  <c:v>8012.7040909090874</c:v>
                </c:pt>
                <c:pt idx="8">
                  <c:v>7842.15409090909</c:v>
                </c:pt>
                <c:pt idx="9">
                  <c:v>8323.1240909090884</c:v>
                </c:pt>
                <c:pt idx="10">
                  <c:v>8326.2840909090901</c:v>
                </c:pt>
                <c:pt idx="11">
                  <c:v>9855.8040909090887</c:v>
                </c:pt>
                <c:pt idx="12">
                  <c:v>8387.490959595958</c:v>
                </c:pt>
                <c:pt idx="13">
                  <c:v>7571.280959595957</c:v>
                </c:pt>
                <c:pt idx="14">
                  <c:v>8469.5309595959588</c:v>
                </c:pt>
                <c:pt idx="15">
                  <c:v>8061.8809595959574</c:v>
                </c:pt>
                <c:pt idx="16">
                  <c:v>8151.6209595959581</c:v>
                </c:pt>
                <c:pt idx="17">
                  <c:v>7809.3009595959575</c:v>
                </c:pt>
                <c:pt idx="18">
                  <c:v>8205.7509595959582</c:v>
                </c:pt>
                <c:pt idx="19">
                  <c:v>8370.5609595959577</c:v>
                </c:pt>
                <c:pt idx="20">
                  <c:v>8200.0109595959584</c:v>
                </c:pt>
                <c:pt idx="21">
                  <c:v>8680.9809595959559</c:v>
                </c:pt>
                <c:pt idx="22">
                  <c:v>8684.1409595959576</c:v>
                </c:pt>
                <c:pt idx="23">
                  <c:v>10213.660959595956</c:v>
                </c:pt>
                <c:pt idx="24">
                  <c:v>8745.3478282828255</c:v>
                </c:pt>
                <c:pt idx="25">
                  <c:v>7929.1378282828246</c:v>
                </c:pt>
                <c:pt idx="26">
                  <c:v>8827.3878282828282</c:v>
                </c:pt>
                <c:pt idx="27">
                  <c:v>8419.7378282828267</c:v>
                </c:pt>
                <c:pt idx="28">
                  <c:v>8509.4778282828265</c:v>
                </c:pt>
                <c:pt idx="29">
                  <c:v>8167.1578282828268</c:v>
                </c:pt>
                <c:pt idx="30">
                  <c:v>8563.6078282828275</c:v>
                </c:pt>
                <c:pt idx="31">
                  <c:v>8728.417828282827</c:v>
                </c:pt>
                <c:pt idx="32">
                  <c:v>8557.8678282828259</c:v>
                </c:pt>
                <c:pt idx="33">
                  <c:v>9038.8378282828253</c:v>
                </c:pt>
                <c:pt idx="34">
                  <c:v>9041.997828282827</c:v>
                </c:pt>
                <c:pt idx="35">
                  <c:v>10571.517828282826</c:v>
                </c:pt>
                <c:pt idx="36">
                  <c:v>9103.2046969696949</c:v>
                </c:pt>
                <c:pt idx="37">
                  <c:v>8286.9946969696939</c:v>
                </c:pt>
                <c:pt idx="38">
                  <c:v>9185.2446969696957</c:v>
                </c:pt>
                <c:pt idx="39">
                  <c:v>8777.5946969696943</c:v>
                </c:pt>
                <c:pt idx="40">
                  <c:v>8867.3346969696941</c:v>
                </c:pt>
                <c:pt idx="41">
                  <c:v>8525.0146969696962</c:v>
                </c:pt>
                <c:pt idx="42">
                  <c:v>8921.4646969696969</c:v>
                </c:pt>
                <c:pt idx="43">
                  <c:v>9086.2746969696964</c:v>
                </c:pt>
                <c:pt idx="44">
                  <c:v>8915.7246969696971</c:v>
                </c:pt>
                <c:pt idx="45">
                  <c:v>9396.6946969696946</c:v>
                </c:pt>
                <c:pt idx="46">
                  <c:v>9399.8546969696963</c:v>
                </c:pt>
                <c:pt idx="47">
                  <c:v>10929.374696969695</c:v>
                </c:pt>
                <c:pt idx="48">
                  <c:v>9461.0615656565642</c:v>
                </c:pt>
                <c:pt idx="49">
                  <c:v>8644.8515656565633</c:v>
                </c:pt>
                <c:pt idx="50">
                  <c:v>9543.1015656565651</c:v>
                </c:pt>
                <c:pt idx="51">
                  <c:v>9135.4515656565636</c:v>
                </c:pt>
                <c:pt idx="52">
                  <c:v>9225.1915656565634</c:v>
                </c:pt>
                <c:pt idx="53">
                  <c:v>8882.8715656565637</c:v>
                </c:pt>
                <c:pt idx="54">
                  <c:v>9279.3215656565644</c:v>
                </c:pt>
                <c:pt idx="55">
                  <c:v>9444.1315656565639</c:v>
                </c:pt>
                <c:pt idx="56">
                  <c:v>9273.5815656565646</c:v>
                </c:pt>
                <c:pt idx="57">
                  <c:v>9754.5515656565622</c:v>
                </c:pt>
                <c:pt idx="58">
                  <c:v>9757.7115656565638</c:v>
                </c:pt>
                <c:pt idx="59">
                  <c:v>11287.231565656562</c:v>
                </c:pt>
                <c:pt idx="60">
                  <c:v>9818.9184343434335</c:v>
                </c:pt>
                <c:pt idx="61">
                  <c:v>9002.7084343434326</c:v>
                </c:pt>
                <c:pt idx="62">
                  <c:v>9900.9584343434344</c:v>
                </c:pt>
                <c:pt idx="63">
                  <c:v>9493.308434343433</c:v>
                </c:pt>
                <c:pt idx="64">
                  <c:v>9583.0484343434327</c:v>
                </c:pt>
                <c:pt idx="65">
                  <c:v>9240.728434343433</c:v>
                </c:pt>
                <c:pt idx="66">
                  <c:v>9637.1784343434338</c:v>
                </c:pt>
                <c:pt idx="67">
                  <c:v>9801.9884343434333</c:v>
                </c:pt>
                <c:pt idx="68">
                  <c:v>9631.4384343434322</c:v>
                </c:pt>
                <c:pt idx="69">
                  <c:v>10112.408434343432</c:v>
                </c:pt>
                <c:pt idx="70">
                  <c:v>10115.568434343433</c:v>
                </c:pt>
                <c:pt idx="71">
                  <c:v>11645.088434343432</c:v>
                </c:pt>
                <c:pt idx="72">
                  <c:v>10176.775303030301</c:v>
                </c:pt>
                <c:pt idx="73">
                  <c:v>9360.5653030303001</c:v>
                </c:pt>
                <c:pt idx="74">
                  <c:v>10258.815303030304</c:v>
                </c:pt>
                <c:pt idx="75">
                  <c:v>9851.1653030303023</c:v>
                </c:pt>
                <c:pt idx="76">
                  <c:v>9940.9053030303021</c:v>
                </c:pt>
                <c:pt idx="77">
                  <c:v>9598.5853030303024</c:v>
                </c:pt>
                <c:pt idx="78">
                  <c:v>9995.0353030303031</c:v>
                </c:pt>
                <c:pt idx="79">
                  <c:v>10159.845303030303</c:v>
                </c:pt>
                <c:pt idx="80">
                  <c:v>9989.2953030303033</c:v>
                </c:pt>
                <c:pt idx="81">
                  <c:v>10470.265303030301</c:v>
                </c:pt>
                <c:pt idx="82">
                  <c:v>10473.425303030303</c:v>
                </c:pt>
                <c:pt idx="83">
                  <c:v>12002.945303030301</c:v>
                </c:pt>
                <c:pt idx="84">
                  <c:v>10534.63217171717</c:v>
                </c:pt>
                <c:pt idx="85">
                  <c:v>9718.4221717171695</c:v>
                </c:pt>
                <c:pt idx="86">
                  <c:v>10616.672171717171</c:v>
                </c:pt>
                <c:pt idx="87">
                  <c:v>10209.02217171717</c:v>
                </c:pt>
                <c:pt idx="88">
                  <c:v>10298.76217171717</c:v>
                </c:pt>
                <c:pt idx="89">
                  <c:v>9956.4421717171699</c:v>
                </c:pt>
                <c:pt idx="90">
                  <c:v>10352.892171717171</c:v>
                </c:pt>
                <c:pt idx="91">
                  <c:v>10517.70217171717</c:v>
                </c:pt>
                <c:pt idx="92">
                  <c:v>10347.152171717171</c:v>
                </c:pt>
                <c:pt idx="93">
                  <c:v>10828.122171717168</c:v>
                </c:pt>
                <c:pt idx="94">
                  <c:v>10831.28217171717</c:v>
                </c:pt>
                <c:pt idx="95">
                  <c:v>12360.802171717169</c:v>
                </c:pt>
                <c:pt idx="96">
                  <c:v>10892.48904040404</c:v>
                </c:pt>
                <c:pt idx="97">
                  <c:v>10076.279040404039</c:v>
                </c:pt>
                <c:pt idx="98">
                  <c:v>10974.529040404041</c:v>
                </c:pt>
                <c:pt idx="99">
                  <c:v>10566.879040404039</c:v>
                </c:pt>
                <c:pt idx="100">
                  <c:v>10656.619040404039</c:v>
                </c:pt>
                <c:pt idx="101">
                  <c:v>10314.299040404039</c:v>
                </c:pt>
                <c:pt idx="102">
                  <c:v>10710.74904040404</c:v>
                </c:pt>
                <c:pt idx="103">
                  <c:v>10875.559040404039</c:v>
                </c:pt>
                <c:pt idx="104">
                  <c:v>10705.009040404038</c:v>
                </c:pt>
                <c:pt idx="105">
                  <c:v>11185.979040404038</c:v>
                </c:pt>
                <c:pt idx="106">
                  <c:v>11189.139040404039</c:v>
                </c:pt>
                <c:pt idx="107">
                  <c:v>12718.659040404038</c:v>
                </c:pt>
                <c:pt idx="108">
                  <c:v>11250.345909090909</c:v>
                </c:pt>
                <c:pt idx="109">
                  <c:v>10434.135909090908</c:v>
                </c:pt>
                <c:pt idx="110">
                  <c:v>11332.38590909091</c:v>
                </c:pt>
                <c:pt idx="111">
                  <c:v>10924.735909090909</c:v>
                </c:pt>
                <c:pt idx="112">
                  <c:v>11014.475909090908</c:v>
                </c:pt>
                <c:pt idx="113">
                  <c:v>10672.155909090909</c:v>
                </c:pt>
                <c:pt idx="114">
                  <c:v>11068.605909090909</c:v>
                </c:pt>
                <c:pt idx="115">
                  <c:v>11233.415909090909</c:v>
                </c:pt>
                <c:pt idx="116">
                  <c:v>11062.86590909091</c:v>
                </c:pt>
                <c:pt idx="117">
                  <c:v>11543.835909090907</c:v>
                </c:pt>
                <c:pt idx="118">
                  <c:v>11546.995909090909</c:v>
                </c:pt>
                <c:pt idx="119">
                  <c:v>13076.515909090907</c:v>
                </c:pt>
                <c:pt idx="120">
                  <c:v>11608.202777777777</c:v>
                </c:pt>
                <c:pt idx="121">
                  <c:v>10791.992777777776</c:v>
                </c:pt>
                <c:pt idx="122">
                  <c:v>11690.242777777778</c:v>
                </c:pt>
                <c:pt idx="123">
                  <c:v>11282.592777777776</c:v>
                </c:pt>
                <c:pt idx="124">
                  <c:v>11372.332777777776</c:v>
                </c:pt>
                <c:pt idx="125">
                  <c:v>11030.012777777776</c:v>
                </c:pt>
                <c:pt idx="126">
                  <c:v>11426.462777777777</c:v>
                </c:pt>
                <c:pt idx="127">
                  <c:v>11591.272777777776</c:v>
                </c:pt>
                <c:pt idx="128">
                  <c:v>11420.722777777777</c:v>
                </c:pt>
                <c:pt idx="129">
                  <c:v>11901.692777777775</c:v>
                </c:pt>
                <c:pt idx="130">
                  <c:v>11904.852777777778</c:v>
                </c:pt>
                <c:pt idx="131">
                  <c:v>13434.372777777777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1E-4747-8902-3D2832259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31200"/>
        <c:axId val="21818240"/>
      </c:lineChart>
      <c:catAx>
        <c:axId val="218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8240"/>
        <c:crosses val="autoZero"/>
        <c:auto val="1"/>
        <c:lblAlgn val="ctr"/>
        <c:lblOffset val="100"/>
        <c:noMultiLvlLbl val="0"/>
      </c:catAx>
      <c:valAx>
        <c:axId val="21818240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;\-0.0;0.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323850</xdr:colOff>
      <xdr:row>2</xdr:row>
      <xdr:rowOff>42862</xdr:rowOff>
    </xdr:from>
    <xdr:to>
      <xdr:col>24</xdr:col>
      <xdr:colOff>19050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991B35-0E97-73EF-115E-A01D073C5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3"/>
  <sheetViews>
    <sheetView tabSelected="1" topLeftCell="O1" zoomScale="126" workbookViewId="0">
      <pane ySplit="1" topLeftCell="A2" activePane="bottomLeft" state="frozen"/>
      <selection pane="bottomLeft" activeCell="D122" sqref="D122:D133"/>
    </sheetView>
  </sheetViews>
  <sheetFormatPr defaultRowHeight="15" x14ac:dyDescent="0.25"/>
  <cols>
    <col min="1" max="1" width="6.140625" customWidth="1"/>
    <col min="2" max="2" width="10.140625" bestFit="1" customWidth="1"/>
    <col min="3" max="3" width="9.42578125" customWidth="1"/>
    <col min="22" max="22" width="13.85546875" customWidth="1"/>
  </cols>
  <sheetData>
    <row r="1" spans="1:16" x14ac:dyDescent="0.25">
      <c r="A1" s="3" t="s">
        <v>2</v>
      </c>
      <c r="B1" s="3" t="s">
        <v>1</v>
      </c>
      <c r="C1" s="4" t="s">
        <v>3</v>
      </c>
      <c r="D1" s="3" t="s">
        <v>0</v>
      </c>
      <c r="E1" s="3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>
        <v>1</v>
      </c>
      <c r="B2" s="1">
        <v>40544</v>
      </c>
      <c r="C2" s="2">
        <v>8093.4</v>
      </c>
      <c r="D2" s="6">
        <v>8029.6340909090886</v>
      </c>
      <c r="E2">
        <v>1</v>
      </c>
      <c r="F2" s="5">
        <v>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>
        <v>2</v>
      </c>
      <c r="B3" s="1">
        <v>40575</v>
      </c>
      <c r="C3" s="2">
        <v>7243.1</v>
      </c>
      <c r="D3" s="6">
        <v>7213.4240909090877</v>
      </c>
      <c r="E3">
        <v>2</v>
      </c>
      <c r="F3" s="5">
        <v>0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>
        <v>3</v>
      </c>
      <c r="B4" s="1">
        <v>40603</v>
      </c>
      <c r="C4" s="2">
        <v>8017.8</v>
      </c>
      <c r="D4" s="6">
        <v>8111.6740909090895</v>
      </c>
      <c r="E4">
        <v>3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</row>
    <row r="5" spans="1:16" x14ac:dyDescent="0.25">
      <c r="A5">
        <v>4</v>
      </c>
      <c r="B5" s="1">
        <v>40634</v>
      </c>
      <c r="C5" s="2">
        <v>7835.6</v>
      </c>
      <c r="D5" s="6">
        <v>7704.024090909088</v>
      </c>
      <c r="E5">
        <v>4</v>
      </c>
      <c r="F5" s="5">
        <v>0</v>
      </c>
      <c r="G5" s="5">
        <v>0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x14ac:dyDescent="0.25">
      <c r="A6">
        <v>5</v>
      </c>
      <c r="B6" s="1">
        <v>40664</v>
      </c>
      <c r="C6" s="2">
        <v>7887.6</v>
      </c>
      <c r="D6" s="6">
        <v>7793.7640909090887</v>
      </c>
      <c r="E6">
        <v>5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>
        <v>6</v>
      </c>
      <c r="B7" s="1">
        <v>40695</v>
      </c>
      <c r="C7" s="2">
        <v>7527.9</v>
      </c>
      <c r="D7" s="6">
        <v>7451.4440909090881</v>
      </c>
      <c r="E7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>
        <v>7</v>
      </c>
      <c r="B8" s="1">
        <v>40725</v>
      </c>
      <c r="C8" s="2">
        <v>8044.4</v>
      </c>
      <c r="D8" s="6">
        <v>7847.8940909090888</v>
      </c>
      <c r="E8">
        <v>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  <c r="O8" s="5">
        <v>0</v>
      </c>
      <c r="P8" s="5">
        <v>0</v>
      </c>
    </row>
    <row r="9" spans="1:16" x14ac:dyDescent="0.25">
      <c r="A9">
        <v>8</v>
      </c>
      <c r="B9" s="1">
        <v>40756</v>
      </c>
      <c r="C9" s="2">
        <v>7924.7</v>
      </c>
      <c r="D9" s="6">
        <v>8012.7040909090874</v>
      </c>
      <c r="E9">
        <v>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</row>
    <row r="10" spans="1:16" x14ac:dyDescent="0.25">
      <c r="A10">
        <v>9</v>
      </c>
      <c r="B10" s="1">
        <v>40787</v>
      </c>
      <c r="C10" s="2">
        <v>7855.4</v>
      </c>
      <c r="D10" s="6">
        <v>7842.15409090909</v>
      </c>
      <c r="E10">
        <v>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</row>
    <row r="11" spans="1:16" x14ac:dyDescent="0.25">
      <c r="A11">
        <v>10</v>
      </c>
      <c r="B11" s="1">
        <v>40817</v>
      </c>
      <c r="C11" s="2">
        <v>8239.5</v>
      </c>
      <c r="D11" s="6">
        <v>8323.1240909090884</v>
      </c>
      <c r="E11">
        <v>10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</row>
    <row r="12" spans="1:16" x14ac:dyDescent="0.25">
      <c r="A12">
        <v>11</v>
      </c>
      <c r="B12" s="1">
        <v>40848</v>
      </c>
      <c r="C12" s="2">
        <v>8288.1</v>
      </c>
      <c r="D12" s="6">
        <v>8326.2840909090901</v>
      </c>
      <c r="E12">
        <v>11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</row>
    <row r="13" spans="1:16" x14ac:dyDescent="0.25">
      <c r="A13">
        <v>12</v>
      </c>
      <c r="B13" s="1">
        <v>40878</v>
      </c>
      <c r="C13" s="2">
        <v>9491.7999999999993</v>
      </c>
      <c r="D13" s="6">
        <v>9855.8040909090887</v>
      </c>
      <c r="E13">
        <v>12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>
        <v>13</v>
      </c>
      <c r="B14" s="1">
        <v>40909</v>
      </c>
      <c r="C14" s="2">
        <v>8403.6</v>
      </c>
      <c r="D14" s="6">
        <v>8387.490959595958</v>
      </c>
      <c r="E14">
        <v>13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>
        <v>14</v>
      </c>
      <c r="B15" s="1">
        <v>40940</v>
      </c>
      <c r="C15" s="2">
        <v>7649.6</v>
      </c>
      <c r="D15" s="6">
        <v>7571.280959595957</v>
      </c>
      <c r="E15">
        <v>14</v>
      </c>
      <c r="F15" s="5">
        <v>0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>
        <v>15</v>
      </c>
      <c r="B16" s="1">
        <v>40969</v>
      </c>
      <c r="C16" s="2">
        <v>8285</v>
      </c>
      <c r="D16" s="6">
        <v>8469.5309595959588</v>
      </c>
      <c r="E16">
        <v>15</v>
      </c>
      <c r="F16" s="5">
        <v>0</v>
      </c>
      <c r="G16" s="5">
        <v>0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23" x14ac:dyDescent="0.25">
      <c r="A17">
        <v>16</v>
      </c>
      <c r="B17" s="1">
        <v>41000</v>
      </c>
      <c r="C17" s="2">
        <v>8211.2999999999993</v>
      </c>
      <c r="D17" s="6">
        <v>8061.8809595959574</v>
      </c>
      <c r="E17">
        <v>16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23" x14ac:dyDescent="0.25">
      <c r="A18">
        <v>17</v>
      </c>
      <c r="B18" s="1">
        <v>41030</v>
      </c>
      <c r="C18" s="2">
        <v>8059</v>
      </c>
      <c r="D18" s="6">
        <v>8151.6209595959581</v>
      </c>
      <c r="E18">
        <v>17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23" x14ac:dyDescent="0.25">
      <c r="A19">
        <v>18</v>
      </c>
      <c r="B19" s="1">
        <v>41061</v>
      </c>
      <c r="C19" s="2">
        <v>7878.3</v>
      </c>
      <c r="D19" s="6">
        <v>7809.3009595959575</v>
      </c>
      <c r="E19">
        <v>18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R19" t="s">
        <v>15</v>
      </c>
    </row>
    <row r="20" spans="1:23" ht="15.75" thickBot="1" x14ac:dyDescent="0.3">
      <c r="A20">
        <v>19</v>
      </c>
      <c r="B20" s="1">
        <v>41091</v>
      </c>
      <c r="C20" s="2">
        <v>8315.2000000000007</v>
      </c>
      <c r="D20" s="6">
        <v>8205.7509595959582</v>
      </c>
      <c r="E20">
        <v>19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</row>
    <row r="21" spans="1:23" x14ac:dyDescent="0.25">
      <c r="A21">
        <v>20</v>
      </c>
      <c r="B21" s="1">
        <v>41122</v>
      </c>
      <c r="C21" s="2">
        <v>8360.2999999999993</v>
      </c>
      <c r="D21" s="6">
        <v>8370.5609595959577</v>
      </c>
      <c r="E21">
        <v>20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R21" s="9" t="s">
        <v>16</v>
      </c>
      <c r="S21" s="9"/>
    </row>
    <row r="22" spans="1:23" x14ac:dyDescent="0.25">
      <c r="A22">
        <v>21</v>
      </c>
      <c r="B22" s="1">
        <v>41153</v>
      </c>
      <c r="C22" s="2">
        <v>8274.2000000000007</v>
      </c>
      <c r="D22" s="6">
        <v>8200.0109595959584</v>
      </c>
      <c r="E22">
        <v>21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R22" s="6" t="s">
        <v>17</v>
      </c>
      <c r="S22" s="6">
        <v>0.99504544751862434</v>
      </c>
    </row>
    <row r="23" spans="1:23" x14ac:dyDescent="0.25">
      <c r="A23">
        <v>22</v>
      </c>
      <c r="B23" s="1">
        <v>41183</v>
      </c>
      <c r="C23" s="2">
        <v>8606.2999999999993</v>
      </c>
      <c r="D23" s="6">
        <v>8680.9809595959559</v>
      </c>
      <c r="E23">
        <v>22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R23" s="6" t="s">
        <v>18</v>
      </c>
      <c r="S23" s="6">
        <v>0.99011544262753948</v>
      </c>
    </row>
    <row r="24" spans="1:23" x14ac:dyDescent="0.25">
      <c r="A24">
        <v>23</v>
      </c>
      <c r="B24" s="1">
        <v>41214</v>
      </c>
      <c r="C24" s="2">
        <v>8569.9</v>
      </c>
      <c r="D24" s="6">
        <v>8684.1409595959576</v>
      </c>
      <c r="E24">
        <v>23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R24" s="6" t="s">
        <v>19</v>
      </c>
      <c r="S24" s="6">
        <v>0.98900689413717002</v>
      </c>
    </row>
    <row r="25" spans="1:23" x14ac:dyDescent="0.25">
      <c r="A25">
        <v>24</v>
      </c>
      <c r="B25" s="1">
        <v>41244</v>
      </c>
      <c r="C25" s="2">
        <v>9936</v>
      </c>
      <c r="D25" s="6">
        <v>10213.660959595956</v>
      </c>
      <c r="E25">
        <v>24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R25" s="6" t="s">
        <v>20</v>
      </c>
      <c r="S25" s="6">
        <v>127.49652728614754</v>
      </c>
    </row>
    <row r="26" spans="1:23" ht="15.75" thickBot="1" x14ac:dyDescent="0.3">
      <c r="A26">
        <v>25</v>
      </c>
      <c r="B26" s="1">
        <v>41275</v>
      </c>
      <c r="C26" s="2">
        <v>8534.7999999999993</v>
      </c>
      <c r="D26" s="6">
        <v>8745.3478282828255</v>
      </c>
      <c r="E26">
        <v>25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R26" s="7" t="s">
        <v>21</v>
      </c>
      <c r="S26" s="7">
        <v>120</v>
      </c>
    </row>
    <row r="27" spans="1:23" x14ac:dyDescent="0.25">
      <c r="A27">
        <v>26</v>
      </c>
      <c r="B27" s="1">
        <v>41306</v>
      </c>
      <c r="C27" s="2">
        <v>8119.1</v>
      </c>
      <c r="D27" s="6">
        <v>7929.1378282828246</v>
      </c>
      <c r="E27">
        <v>26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23" ht="15.75" thickBot="1" x14ac:dyDescent="0.3">
      <c r="A28">
        <v>27</v>
      </c>
      <c r="B28" s="1">
        <v>41334</v>
      </c>
      <c r="C28" s="2">
        <v>8736.6</v>
      </c>
      <c r="D28" s="6">
        <v>8827.3878282828282</v>
      </c>
      <c r="E28">
        <v>27</v>
      </c>
      <c r="F28" s="5">
        <v>0</v>
      </c>
      <c r="G28" s="5">
        <v>0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R28" t="s">
        <v>22</v>
      </c>
    </row>
    <row r="29" spans="1:23" x14ac:dyDescent="0.25">
      <c r="A29">
        <v>28</v>
      </c>
      <c r="B29" s="1">
        <v>41365</v>
      </c>
      <c r="C29" s="2">
        <v>8399.2000000000007</v>
      </c>
      <c r="D29" s="6">
        <v>8419.7378282828267</v>
      </c>
      <c r="E29">
        <v>28</v>
      </c>
      <c r="F29" s="5">
        <v>0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R29" s="8"/>
      <c r="S29" s="8" t="s">
        <v>27</v>
      </c>
      <c r="T29" s="8" t="s">
        <v>28</v>
      </c>
      <c r="U29" s="8" t="s">
        <v>29</v>
      </c>
      <c r="V29" s="8" t="s">
        <v>30</v>
      </c>
      <c r="W29" s="8" t="s">
        <v>31</v>
      </c>
    </row>
    <row r="30" spans="1:23" x14ac:dyDescent="0.25">
      <c r="A30">
        <v>29</v>
      </c>
      <c r="B30" s="1">
        <v>41395</v>
      </c>
      <c r="C30" s="2">
        <v>8450.7000000000007</v>
      </c>
      <c r="D30" s="6">
        <v>8509.4778282828265</v>
      </c>
      <c r="E30">
        <v>29</v>
      </c>
      <c r="F30" s="5">
        <v>0</v>
      </c>
      <c r="G30" s="5">
        <v>0</v>
      </c>
      <c r="H30" s="5">
        <v>0</v>
      </c>
      <c r="I30" s="5">
        <v>0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R30" s="6" t="s">
        <v>23</v>
      </c>
      <c r="S30" s="6">
        <v>12</v>
      </c>
      <c r="T30" s="6">
        <v>174224447.8483738</v>
      </c>
      <c r="U30" s="6">
        <v>14518703.987364484</v>
      </c>
      <c r="V30" s="6">
        <v>893.1638545622867</v>
      </c>
      <c r="W30" s="6">
        <v>2.4514275265041631E-101</v>
      </c>
    </row>
    <row r="31" spans="1:23" x14ac:dyDescent="0.25">
      <c r="A31">
        <v>30</v>
      </c>
      <c r="B31" s="1">
        <v>41426</v>
      </c>
      <c r="C31" s="2">
        <v>8269.7000000000007</v>
      </c>
      <c r="D31" s="6">
        <v>8167.1578282828268</v>
      </c>
      <c r="E31">
        <v>30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R31" s="6" t="s">
        <v>24</v>
      </c>
      <c r="S31" s="6">
        <v>107</v>
      </c>
      <c r="T31" s="6">
        <v>1739323.9982929281</v>
      </c>
      <c r="U31" s="6">
        <v>16255.364470027365</v>
      </c>
      <c r="V31" s="6"/>
      <c r="W31" s="6"/>
    </row>
    <row r="32" spans="1:23" ht="15.75" thickBot="1" x14ac:dyDescent="0.3">
      <c r="A32">
        <v>31</v>
      </c>
      <c r="B32" s="1">
        <v>41456</v>
      </c>
      <c r="C32" s="2">
        <v>8500.4</v>
      </c>
      <c r="D32" s="6">
        <v>8563.6078282828275</v>
      </c>
      <c r="E32">
        <v>31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R32" s="7" t="s">
        <v>25</v>
      </c>
      <c r="S32" s="7">
        <v>119</v>
      </c>
      <c r="T32" s="7">
        <v>175963771.84666672</v>
      </c>
      <c r="U32" s="7"/>
      <c r="V32" s="7"/>
      <c r="W32" s="7"/>
    </row>
    <row r="33" spans="1:26" ht="15.75" thickBot="1" x14ac:dyDescent="0.3">
      <c r="A33">
        <v>32</v>
      </c>
      <c r="B33" s="1">
        <v>41487</v>
      </c>
      <c r="C33" s="2">
        <v>8787.9</v>
      </c>
      <c r="D33" s="6">
        <v>8728.417828282827</v>
      </c>
      <c r="E33">
        <v>32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</row>
    <row r="34" spans="1:26" x14ac:dyDescent="0.25">
      <c r="A34">
        <v>33</v>
      </c>
      <c r="B34" s="1">
        <v>41518</v>
      </c>
      <c r="C34" s="2">
        <v>8582.7999999999993</v>
      </c>
      <c r="D34" s="6">
        <v>8557.8678282828259</v>
      </c>
      <c r="E34">
        <v>33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1</v>
      </c>
      <c r="O34" s="5">
        <v>0</v>
      </c>
      <c r="P34" s="5">
        <v>0</v>
      </c>
      <c r="R34" s="8"/>
      <c r="S34" s="8" t="s">
        <v>32</v>
      </c>
      <c r="T34" s="8" t="s">
        <v>20</v>
      </c>
      <c r="U34" s="8" t="s">
        <v>33</v>
      </c>
      <c r="V34" s="8" t="s">
        <v>34</v>
      </c>
      <c r="W34" s="8" t="s">
        <v>35</v>
      </c>
      <c r="X34" s="8" t="s">
        <v>36</v>
      </c>
      <c r="Y34" s="8" t="s">
        <v>37</v>
      </c>
      <c r="Z34" s="8" t="s">
        <v>38</v>
      </c>
    </row>
    <row r="35" spans="1:26" x14ac:dyDescent="0.25">
      <c r="A35">
        <v>34</v>
      </c>
      <c r="B35" s="1">
        <v>41548</v>
      </c>
      <c r="C35" s="2">
        <v>8982</v>
      </c>
      <c r="D35" s="6">
        <v>9038.8378282828253</v>
      </c>
      <c r="E35">
        <v>34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5">
        <v>0</v>
      </c>
      <c r="R35" s="6" t="s">
        <v>26</v>
      </c>
      <c r="S35" s="6">
        <v>9497.9472222222194</v>
      </c>
      <c r="T35" s="6">
        <v>46.067647423571138</v>
      </c>
      <c r="U35" s="6">
        <v>206.17391495799427</v>
      </c>
      <c r="V35" s="6">
        <v>5.9893657085162802E-141</v>
      </c>
      <c r="W35" s="6">
        <v>9406.6234840666148</v>
      </c>
      <c r="X35" s="6">
        <v>9589.2709603778239</v>
      </c>
      <c r="Y35" s="6">
        <v>9406.6234840666148</v>
      </c>
      <c r="Z35" s="6">
        <v>9589.2709603778239</v>
      </c>
    </row>
    <row r="36" spans="1:26" x14ac:dyDescent="0.25">
      <c r="A36">
        <v>35</v>
      </c>
      <c r="B36" s="1">
        <v>41579</v>
      </c>
      <c r="C36" s="2">
        <v>9048.5</v>
      </c>
      <c r="D36" s="6">
        <v>9041.997828282827</v>
      </c>
      <c r="E36">
        <v>35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R36" s="6" t="s">
        <v>2</v>
      </c>
      <c r="S36" s="6">
        <v>29.821405723905734</v>
      </c>
      <c r="T36" s="6">
        <v>0.33767546951686539</v>
      </c>
      <c r="U36" s="6">
        <v>88.31380546112274</v>
      </c>
      <c r="V36" s="6">
        <v>8.308369552523843E-102</v>
      </c>
      <c r="W36" s="6">
        <v>29.152003488619233</v>
      </c>
      <c r="X36" s="6">
        <v>30.490807959192235</v>
      </c>
      <c r="Y36" s="6">
        <v>29.152003488619233</v>
      </c>
      <c r="Z36" s="6">
        <v>30.490807959192235</v>
      </c>
    </row>
    <row r="37" spans="1:26" x14ac:dyDescent="0.25">
      <c r="A37">
        <v>36</v>
      </c>
      <c r="B37" s="1">
        <v>41609</v>
      </c>
      <c r="C37" s="2">
        <v>10262.1</v>
      </c>
      <c r="D37" s="6">
        <v>10571.517828282826</v>
      </c>
      <c r="E37">
        <v>36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R37" s="6" t="s">
        <v>4</v>
      </c>
      <c r="S37" s="6">
        <v>-1498.1345370370366</v>
      </c>
      <c r="T37" s="6">
        <v>57.139039941652875</v>
      </c>
      <c r="U37" s="6">
        <v>-26.219105861191334</v>
      </c>
      <c r="V37" s="6">
        <v>2.1664438678907439E-48</v>
      </c>
      <c r="W37" s="6">
        <v>-1611.4060196051737</v>
      </c>
      <c r="X37" s="6">
        <v>-1384.8630544688995</v>
      </c>
      <c r="Y37" s="6">
        <v>-1611.4060196051737</v>
      </c>
      <c r="Z37" s="6">
        <v>-1384.8630544688995</v>
      </c>
    </row>
    <row r="38" spans="1:26" x14ac:dyDescent="0.25">
      <c r="A38">
        <v>37</v>
      </c>
      <c r="B38" s="1">
        <v>41640</v>
      </c>
      <c r="C38" s="2">
        <v>9067.6</v>
      </c>
      <c r="D38" s="6">
        <v>9103.2046969696949</v>
      </c>
      <c r="E38">
        <v>37</v>
      </c>
      <c r="F38" s="5">
        <v>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R38" s="6" t="s">
        <v>5</v>
      </c>
      <c r="S38" s="6">
        <v>-2344.1659427609425</v>
      </c>
      <c r="T38" s="6">
        <v>57.118082655817652</v>
      </c>
      <c r="U38" s="6">
        <v>-41.040697337241276</v>
      </c>
      <c r="V38" s="6">
        <v>2.6691795069090629E-67</v>
      </c>
      <c r="W38" s="6">
        <v>-2457.395879954156</v>
      </c>
      <c r="X38" s="6">
        <v>-2230.9360055677289</v>
      </c>
      <c r="Y38" s="6">
        <v>-2457.395879954156</v>
      </c>
      <c r="Z38" s="6">
        <v>-2230.9360055677289</v>
      </c>
    </row>
    <row r="39" spans="1:26" x14ac:dyDescent="0.25">
      <c r="A39">
        <v>38</v>
      </c>
      <c r="B39" s="1">
        <v>41671</v>
      </c>
      <c r="C39" s="2">
        <v>8264.7999999999993</v>
      </c>
      <c r="D39" s="6">
        <v>8286.9946969696939</v>
      </c>
      <c r="E39">
        <v>38</v>
      </c>
      <c r="F39" s="5">
        <v>0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R39" s="6" t="s">
        <v>6</v>
      </c>
      <c r="S39" s="6">
        <v>-1475.7373484848472</v>
      </c>
      <c r="T39" s="6">
        <v>57.099114673918187</v>
      </c>
      <c r="U39" s="6">
        <v>-25.845187914252136</v>
      </c>
      <c r="V39" s="6">
        <v>8.1853958982193699E-48</v>
      </c>
      <c r="W39" s="6">
        <v>-1588.9296838661774</v>
      </c>
      <c r="X39" s="6">
        <v>-1362.545013103517</v>
      </c>
      <c r="Y39" s="6">
        <v>-1588.9296838661774</v>
      </c>
      <c r="Z39" s="6">
        <v>-1362.545013103517</v>
      </c>
    </row>
    <row r="40" spans="1:26" x14ac:dyDescent="0.25">
      <c r="A40">
        <v>39</v>
      </c>
      <c r="B40" s="1">
        <v>41699</v>
      </c>
      <c r="C40" s="2">
        <v>9272</v>
      </c>
      <c r="D40" s="6">
        <v>9185.2446969696957</v>
      </c>
      <c r="E40">
        <v>39</v>
      </c>
      <c r="F40" s="5">
        <v>0</v>
      </c>
      <c r="G40" s="5">
        <v>0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R40" s="6" t="s">
        <v>7</v>
      </c>
      <c r="S40" s="6">
        <v>-1913.2087542087536</v>
      </c>
      <c r="T40" s="6">
        <v>57.082137979048525</v>
      </c>
      <c r="U40" s="6">
        <v>-33.516767625469448</v>
      </c>
      <c r="V40" s="6">
        <v>1.4476429374334914E-58</v>
      </c>
      <c r="W40" s="6">
        <v>-2026.3674352724936</v>
      </c>
      <c r="X40" s="6">
        <v>-1800.0500731450136</v>
      </c>
      <c r="Y40" s="6">
        <v>-2026.3674352724936</v>
      </c>
      <c r="Z40" s="6">
        <v>-1800.0500731450136</v>
      </c>
    </row>
    <row r="41" spans="1:26" x14ac:dyDescent="0.25">
      <c r="A41">
        <v>40</v>
      </c>
      <c r="B41" s="1">
        <v>41730</v>
      </c>
      <c r="C41" s="2">
        <v>8614.9</v>
      </c>
      <c r="D41" s="6">
        <v>8777.5946969696943</v>
      </c>
      <c r="E41">
        <v>40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R41" s="6" t="s">
        <v>8</v>
      </c>
      <c r="S41" s="6">
        <v>-1853.290159932659</v>
      </c>
      <c r="T41" s="6">
        <v>57.067154348350265</v>
      </c>
      <c r="U41" s="6">
        <v>-32.475601440011793</v>
      </c>
      <c r="V41" s="6">
        <v>3.1406771216697537E-57</v>
      </c>
      <c r="W41" s="6">
        <v>-1966.4191376960778</v>
      </c>
      <c r="X41" s="6">
        <v>-1740.1611821692402</v>
      </c>
      <c r="Y41" s="6">
        <v>-1966.4191376960778</v>
      </c>
      <c r="Z41" s="6">
        <v>-1740.1611821692402</v>
      </c>
    </row>
    <row r="42" spans="1:26" x14ac:dyDescent="0.25">
      <c r="A42">
        <v>41</v>
      </c>
      <c r="B42" s="1">
        <v>41760</v>
      </c>
      <c r="C42" s="2">
        <v>8876.5</v>
      </c>
      <c r="D42" s="6">
        <v>8867.3346969696941</v>
      </c>
      <c r="E42">
        <v>41</v>
      </c>
      <c r="F42" s="5">
        <v>0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R42" s="6" t="s">
        <v>9</v>
      </c>
      <c r="S42" s="6">
        <v>-2225.431565656565</v>
      </c>
      <c r="T42" s="6">
        <v>57.054165352085889</v>
      </c>
      <c r="U42" s="6">
        <v>-39.005593227475089</v>
      </c>
      <c r="V42" s="6">
        <v>4.3954952968993421E-65</v>
      </c>
      <c r="W42" s="6">
        <v>-2338.5347942497942</v>
      </c>
      <c r="X42" s="6">
        <v>-2112.3283370633358</v>
      </c>
      <c r="Y42" s="6">
        <v>-2338.5347942497942</v>
      </c>
      <c r="Z42" s="6">
        <v>-2112.3283370633358</v>
      </c>
    </row>
    <row r="43" spans="1:26" x14ac:dyDescent="0.25">
      <c r="A43">
        <v>42</v>
      </c>
      <c r="B43" s="1">
        <v>41791</v>
      </c>
      <c r="C43" s="2">
        <v>8516.9</v>
      </c>
      <c r="D43" s="6">
        <v>8525.0146969696962</v>
      </c>
      <c r="E43">
        <v>42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R43" s="6" t="s">
        <v>10</v>
      </c>
      <c r="S43" s="6">
        <v>-1858.8029713804704</v>
      </c>
      <c r="T43" s="6">
        <v>57.043172352818068</v>
      </c>
      <c r="U43" s="6">
        <v>-32.585897570415213</v>
      </c>
      <c r="V43" s="6">
        <v>2.2584092375488457E-57</v>
      </c>
      <c r="W43" s="6">
        <v>-1971.8844076347625</v>
      </c>
      <c r="X43" s="6">
        <v>-1745.7215351261782</v>
      </c>
      <c r="Y43" s="6">
        <v>-1971.8844076347625</v>
      </c>
      <c r="Z43" s="6">
        <v>-1745.7215351261782</v>
      </c>
    </row>
    <row r="44" spans="1:26" x14ac:dyDescent="0.25">
      <c r="A44">
        <v>43</v>
      </c>
      <c r="B44" s="1">
        <v>41821</v>
      </c>
      <c r="C44" s="2">
        <v>8855.7999999999993</v>
      </c>
      <c r="D44" s="6">
        <v>8921.4646969696969</v>
      </c>
      <c r="E44">
        <v>43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1</v>
      </c>
      <c r="M44" s="5">
        <v>0</v>
      </c>
      <c r="N44" s="5">
        <v>0</v>
      </c>
      <c r="O44" s="5">
        <v>0</v>
      </c>
      <c r="P44" s="5">
        <v>0</v>
      </c>
      <c r="R44" s="6" t="s">
        <v>11</v>
      </c>
      <c r="S44" s="6">
        <v>-1723.8143771043767</v>
      </c>
      <c r="T44" s="6">
        <v>57.034176504696639</v>
      </c>
      <c r="U44" s="6">
        <v>-30.224235410191721</v>
      </c>
      <c r="V44" s="6">
        <v>3.2378440753228322E-54</v>
      </c>
      <c r="W44" s="6">
        <v>-1836.8779801389524</v>
      </c>
      <c r="X44" s="6">
        <v>-1610.7507740698011</v>
      </c>
      <c r="Y44" s="6">
        <v>-1836.8779801389524</v>
      </c>
      <c r="Z44" s="6">
        <v>-1610.7507740698011</v>
      </c>
    </row>
    <row r="45" spans="1:26" x14ac:dyDescent="0.25">
      <c r="A45">
        <v>44</v>
      </c>
      <c r="B45" s="1">
        <v>41852</v>
      </c>
      <c r="C45" s="2">
        <v>9188.1</v>
      </c>
      <c r="D45" s="6">
        <v>9086.2746969696964</v>
      </c>
      <c r="E45">
        <v>44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R45" s="6" t="s">
        <v>12</v>
      </c>
      <c r="S45" s="6">
        <v>-1924.1857828282818</v>
      </c>
      <c r="T45" s="6">
        <v>57.027178752853395</v>
      </c>
      <c r="U45" s="6">
        <v>-33.741556656123443</v>
      </c>
      <c r="V45" s="6">
        <v>7.5273986861342098E-59</v>
      </c>
      <c r="W45" s="6">
        <v>-2037.2355136359747</v>
      </c>
      <c r="X45" s="6">
        <v>-1811.136052020589</v>
      </c>
      <c r="Y45" s="6">
        <v>-2037.2355136359747</v>
      </c>
      <c r="Z45" s="6">
        <v>-1811.136052020589</v>
      </c>
    </row>
    <row r="46" spans="1:26" x14ac:dyDescent="0.25">
      <c r="A46">
        <v>45</v>
      </c>
      <c r="B46" s="1">
        <v>41883</v>
      </c>
      <c r="C46" s="2">
        <v>8839.1</v>
      </c>
      <c r="D46" s="6">
        <v>8915.7246969696971</v>
      </c>
      <c r="E46">
        <v>45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1</v>
      </c>
      <c r="O46" s="5">
        <v>0</v>
      </c>
      <c r="P46" s="5">
        <v>0</v>
      </c>
      <c r="R46" s="6" t="s">
        <v>13</v>
      </c>
      <c r="S46" s="6">
        <v>-1473.0371885521884</v>
      </c>
      <c r="T46" s="6">
        <v>57.022179832906495</v>
      </c>
      <c r="U46" s="6">
        <v>-25.832705674680724</v>
      </c>
      <c r="V46" s="6">
        <v>8.5588566132704496E-48</v>
      </c>
      <c r="W46" s="6">
        <v>-1586.0770095841096</v>
      </c>
      <c r="X46" s="6">
        <v>-1359.9973675202671</v>
      </c>
      <c r="Y46" s="6">
        <v>-1586.0770095841096</v>
      </c>
      <c r="Z46" s="6">
        <v>-1359.9973675202671</v>
      </c>
    </row>
    <row r="47" spans="1:26" ht="15.75" thickBot="1" x14ac:dyDescent="0.3">
      <c r="A47">
        <v>46</v>
      </c>
      <c r="B47" s="1">
        <v>41913</v>
      </c>
      <c r="C47" s="2">
        <v>9338.4</v>
      </c>
      <c r="D47" s="6">
        <v>9396.6946969696946</v>
      </c>
      <c r="E47">
        <v>46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R47" s="7" t="s">
        <v>14</v>
      </c>
      <c r="S47" s="7">
        <v>-1499.698594276093</v>
      </c>
      <c r="T47" s="7">
        <v>57.019180270573749</v>
      </c>
      <c r="U47" s="7">
        <v>-26.301651254184236</v>
      </c>
      <c r="V47" s="7">
        <v>1.6185207566543526E-48</v>
      </c>
      <c r="W47" s="7">
        <v>-1612.7324690255282</v>
      </c>
      <c r="X47" s="7">
        <v>-1386.6647195266578</v>
      </c>
      <c r="Y47" s="7">
        <v>-1612.7324690255282</v>
      </c>
      <c r="Z47" s="7">
        <v>-1386.6647195266578</v>
      </c>
    </row>
    <row r="48" spans="1:26" x14ac:dyDescent="0.25">
      <c r="A48">
        <v>47</v>
      </c>
      <c r="B48" s="1">
        <v>41944</v>
      </c>
      <c r="C48" s="2">
        <v>9345.9</v>
      </c>
      <c r="D48" s="6">
        <v>9399.8546969696963</v>
      </c>
      <c r="E48">
        <v>47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</row>
    <row r="49" spans="1:20" x14ac:dyDescent="0.25">
      <c r="A49">
        <v>48</v>
      </c>
      <c r="B49" s="1">
        <v>41974</v>
      </c>
      <c r="C49" s="2">
        <v>10856.4</v>
      </c>
      <c r="D49" s="6">
        <v>10929.374696969695</v>
      </c>
      <c r="E49">
        <v>48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20" x14ac:dyDescent="0.25">
      <c r="A50">
        <v>49</v>
      </c>
      <c r="B50" s="1">
        <v>42005</v>
      </c>
      <c r="C50" s="2">
        <v>9701.6</v>
      </c>
      <c r="D50" s="6">
        <v>9461.0615656565642</v>
      </c>
      <c r="E50">
        <v>49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  <row r="51" spans="1:20" x14ac:dyDescent="0.25">
      <c r="A51">
        <v>50</v>
      </c>
      <c r="B51" s="1">
        <v>42036</v>
      </c>
      <c r="C51" s="2">
        <v>8667.9</v>
      </c>
      <c r="D51" s="6">
        <v>8644.8515656565633</v>
      </c>
      <c r="E51">
        <v>50</v>
      </c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R51" t="s">
        <v>39</v>
      </c>
    </row>
    <row r="52" spans="1:20" ht="15.75" thickBot="1" x14ac:dyDescent="0.3">
      <c r="A52">
        <v>51</v>
      </c>
      <c r="B52" s="1">
        <v>42064</v>
      </c>
      <c r="C52" s="2">
        <v>9524.6</v>
      </c>
      <c r="D52" s="6">
        <v>9543.1015656565651</v>
      </c>
      <c r="E52">
        <v>51</v>
      </c>
      <c r="F52" s="5">
        <v>0</v>
      </c>
      <c r="G52" s="5">
        <v>0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</row>
    <row r="53" spans="1:20" x14ac:dyDescent="0.25">
      <c r="A53">
        <v>52</v>
      </c>
      <c r="B53" s="1">
        <v>42095</v>
      </c>
      <c r="C53" s="2">
        <v>9223.9</v>
      </c>
      <c r="D53" s="6">
        <v>9135.4515656565636</v>
      </c>
      <c r="E53">
        <v>52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R53" s="8" t="s">
        <v>40</v>
      </c>
      <c r="S53" s="8" t="s">
        <v>41</v>
      </c>
      <c r="T53" s="8" t="s">
        <v>42</v>
      </c>
    </row>
    <row r="54" spans="1:20" x14ac:dyDescent="0.25">
      <c r="A54">
        <v>53</v>
      </c>
      <c r="B54" s="1">
        <v>42125</v>
      </c>
      <c r="C54" s="2">
        <v>9386</v>
      </c>
      <c r="D54" s="6">
        <v>9225.1915656565634</v>
      </c>
      <c r="E54">
        <v>53</v>
      </c>
      <c r="F54" s="5">
        <v>0</v>
      </c>
      <c r="G54" s="5">
        <v>0</v>
      </c>
      <c r="H54" s="5">
        <v>0</v>
      </c>
      <c r="I54" s="5">
        <v>0</v>
      </c>
      <c r="J54" s="5">
        <v>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R54" s="6">
        <v>1</v>
      </c>
      <c r="S54" s="6">
        <v>8029.6340909090886</v>
      </c>
      <c r="T54" s="6">
        <v>63.765909090911009</v>
      </c>
    </row>
    <row r="55" spans="1:20" x14ac:dyDescent="0.25">
      <c r="A55">
        <v>54</v>
      </c>
      <c r="B55" s="1">
        <v>42156</v>
      </c>
      <c r="C55" s="2">
        <v>8977.5</v>
      </c>
      <c r="D55" s="6">
        <v>8882.8715656565637</v>
      </c>
      <c r="E55">
        <v>54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R55" s="6">
        <v>2</v>
      </c>
      <c r="S55" s="6">
        <v>7213.4240909090877</v>
      </c>
      <c r="T55" s="6">
        <v>29.675909090912683</v>
      </c>
    </row>
    <row r="56" spans="1:20" x14ac:dyDescent="0.25">
      <c r="A56">
        <v>55</v>
      </c>
      <c r="B56" s="1">
        <v>42186</v>
      </c>
      <c r="C56" s="2">
        <v>9393.2999999999993</v>
      </c>
      <c r="D56" s="6">
        <v>9279.3215656565644</v>
      </c>
      <c r="E56">
        <v>55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R56" s="6">
        <v>3</v>
      </c>
      <c r="S56" s="6">
        <v>8111.6740909090895</v>
      </c>
      <c r="T56" s="6">
        <v>-93.874090909089318</v>
      </c>
    </row>
    <row r="57" spans="1:20" x14ac:dyDescent="0.25">
      <c r="A57">
        <v>56</v>
      </c>
      <c r="B57" s="1">
        <v>42217</v>
      </c>
      <c r="C57" s="2">
        <v>9582.4</v>
      </c>
      <c r="D57" s="6">
        <v>9444.1315656565639</v>
      </c>
      <c r="E57">
        <v>56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  <c r="R57" s="6">
        <v>4</v>
      </c>
      <c r="S57" s="6">
        <v>7704.024090909088</v>
      </c>
      <c r="T57" s="6">
        <v>131.57590909091232</v>
      </c>
    </row>
    <row r="58" spans="1:20" x14ac:dyDescent="0.25">
      <c r="A58">
        <v>57</v>
      </c>
      <c r="B58" s="1">
        <v>42248</v>
      </c>
      <c r="C58" s="2">
        <v>9353.7999999999993</v>
      </c>
      <c r="D58" s="6">
        <v>9273.5815656565646</v>
      </c>
      <c r="E58">
        <v>57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1</v>
      </c>
      <c r="O58" s="5">
        <v>0</v>
      </c>
      <c r="P58" s="5">
        <v>0</v>
      </c>
      <c r="R58" s="6">
        <v>5</v>
      </c>
      <c r="S58" s="6">
        <v>7793.7640909090887</v>
      </c>
      <c r="T58" s="6">
        <v>93.835909090911628</v>
      </c>
    </row>
    <row r="59" spans="1:20" x14ac:dyDescent="0.25">
      <c r="A59">
        <v>58</v>
      </c>
      <c r="B59" s="1">
        <v>42278</v>
      </c>
      <c r="C59" s="2">
        <v>9964.4</v>
      </c>
      <c r="D59" s="6">
        <v>9754.5515656565622</v>
      </c>
      <c r="E59">
        <v>58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0</v>
      </c>
      <c r="R59" s="6">
        <v>6</v>
      </c>
      <c r="S59" s="6">
        <v>7451.4440909090881</v>
      </c>
      <c r="T59" s="6">
        <v>76.455909090911518</v>
      </c>
    </row>
    <row r="60" spans="1:20" x14ac:dyDescent="0.25">
      <c r="A60">
        <v>59</v>
      </c>
      <c r="B60" s="1">
        <v>42309</v>
      </c>
      <c r="C60" s="2">
        <v>9911.1</v>
      </c>
      <c r="D60" s="6">
        <v>9757.7115656565638</v>
      </c>
      <c r="E60">
        <v>59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</v>
      </c>
      <c r="R60" s="6">
        <v>7</v>
      </c>
      <c r="S60" s="6">
        <v>7847.8940909090888</v>
      </c>
      <c r="T60" s="6">
        <v>196.50590909091079</v>
      </c>
    </row>
    <row r="61" spans="1:20" x14ac:dyDescent="0.25">
      <c r="A61">
        <v>60</v>
      </c>
      <c r="B61" s="1">
        <v>42339</v>
      </c>
      <c r="C61" s="2">
        <v>11271.6</v>
      </c>
      <c r="D61" s="6">
        <v>11287.231565656562</v>
      </c>
      <c r="E61">
        <v>60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R61" s="6">
        <v>8</v>
      </c>
      <c r="S61" s="6">
        <v>8012.7040909090874</v>
      </c>
      <c r="T61" s="6">
        <v>-88.004090909087608</v>
      </c>
    </row>
    <row r="62" spans="1:20" x14ac:dyDescent="0.25">
      <c r="A62">
        <v>61</v>
      </c>
      <c r="B62" s="1">
        <v>42370</v>
      </c>
      <c r="C62" s="2">
        <v>9955.4</v>
      </c>
      <c r="D62" s="6">
        <v>9818.9184343434335</v>
      </c>
      <c r="E62">
        <v>61</v>
      </c>
      <c r="F62" s="5">
        <v>1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R62" s="6">
        <v>9</v>
      </c>
      <c r="S62" s="6">
        <v>7842.15409090909</v>
      </c>
      <c r="T62" s="6">
        <v>13.245909090909663</v>
      </c>
    </row>
    <row r="63" spans="1:20" x14ac:dyDescent="0.25">
      <c r="A63">
        <v>62</v>
      </c>
      <c r="B63" s="1">
        <v>42401</v>
      </c>
      <c r="C63" s="2">
        <v>9020</v>
      </c>
      <c r="D63" s="6">
        <v>9002.7084343434326</v>
      </c>
      <c r="E63">
        <v>62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R63" s="6">
        <v>10</v>
      </c>
      <c r="S63" s="6">
        <v>8323.1240909090884</v>
      </c>
      <c r="T63" s="6">
        <v>-83.624090909088409</v>
      </c>
    </row>
    <row r="64" spans="1:20" x14ac:dyDescent="0.25">
      <c r="A64">
        <v>63</v>
      </c>
      <c r="B64" s="1">
        <v>42430</v>
      </c>
      <c r="C64" s="2">
        <v>9926.5</v>
      </c>
      <c r="D64" s="6">
        <v>9900.9584343434344</v>
      </c>
      <c r="E64">
        <v>63</v>
      </c>
      <c r="F64" s="5">
        <v>0</v>
      </c>
      <c r="G64" s="5">
        <v>0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R64" s="6">
        <v>11</v>
      </c>
      <c r="S64" s="6">
        <v>8326.2840909090901</v>
      </c>
      <c r="T64" s="6">
        <v>-38.184090909089718</v>
      </c>
    </row>
    <row r="65" spans="1:20" x14ac:dyDescent="0.25">
      <c r="A65">
        <v>64</v>
      </c>
      <c r="B65" s="1">
        <v>42461</v>
      </c>
      <c r="C65" s="2">
        <v>9538</v>
      </c>
      <c r="D65" s="6">
        <v>9493.308434343433</v>
      </c>
      <c r="E65">
        <v>64</v>
      </c>
      <c r="F65" s="5">
        <v>0</v>
      </c>
      <c r="G65" s="5">
        <v>0</v>
      </c>
      <c r="H65" s="5">
        <v>0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R65" s="6">
        <v>12</v>
      </c>
      <c r="S65" s="6">
        <v>9855.8040909090887</v>
      </c>
      <c r="T65" s="6">
        <v>-364.00409090908943</v>
      </c>
    </row>
    <row r="66" spans="1:20" x14ac:dyDescent="0.25">
      <c r="A66">
        <v>65</v>
      </c>
      <c r="B66" s="1">
        <v>42491</v>
      </c>
      <c r="C66" s="2">
        <v>9707.1</v>
      </c>
      <c r="D66" s="6">
        <v>9583.0484343434327</v>
      </c>
      <c r="E66">
        <v>65</v>
      </c>
      <c r="F66" s="5">
        <v>0</v>
      </c>
      <c r="G66" s="5">
        <v>0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R66" s="6">
        <v>13</v>
      </c>
      <c r="S66" s="6">
        <v>8387.490959595958</v>
      </c>
      <c r="T66" s="6">
        <v>16.109040404042389</v>
      </c>
    </row>
    <row r="67" spans="1:20" x14ac:dyDescent="0.25">
      <c r="A67">
        <v>66</v>
      </c>
      <c r="B67" s="1">
        <v>42522</v>
      </c>
      <c r="C67" s="2">
        <v>9217.7999999999993</v>
      </c>
      <c r="D67" s="6">
        <v>9240.728434343433</v>
      </c>
      <c r="E67">
        <v>66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R67" s="6">
        <v>14</v>
      </c>
      <c r="S67" s="6">
        <v>7571.280959595957</v>
      </c>
      <c r="T67" s="6">
        <v>78.319040404043335</v>
      </c>
    </row>
    <row r="68" spans="1:20" x14ac:dyDescent="0.25">
      <c r="A68">
        <v>67</v>
      </c>
      <c r="B68" s="1">
        <v>42552</v>
      </c>
      <c r="C68" s="2">
        <v>9718</v>
      </c>
      <c r="D68" s="6">
        <v>9637.1784343434338</v>
      </c>
      <c r="E68">
        <v>67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R68" s="6">
        <v>15</v>
      </c>
      <c r="S68" s="6">
        <v>8469.5309595959588</v>
      </c>
      <c r="T68" s="6">
        <v>-184.53095959595885</v>
      </c>
    </row>
    <row r="69" spans="1:20" x14ac:dyDescent="0.25">
      <c r="A69">
        <v>68</v>
      </c>
      <c r="B69" s="1">
        <v>42583</v>
      </c>
      <c r="C69" s="2">
        <v>9834.7999999999993</v>
      </c>
      <c r="D69" s="6">
        <v>9801.9884343434333</v>
      </c>
      <c r="E69">
        <v>68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0</v>
      </c>
      <c r="R69" s="6">
        <v>16</v>
      </c>
      <c r="S69" s="6">
        <v>8061.8809595959574</v>
      </c>
      <c r="T69" s="6">
        <v>149.41904040404188</v>
      </c>
    </row>
    <row r="70" spans="1:20" x14ac:dyDescent="0.25">
      <c r="A70">
        <v>69</v>
      </c>
      <c r="B70" s="1">
        <v>42614</v>
      </c>
      <c r="C70" s="2">
        <v>9645.7999999999993</v>
      </c>
      <c r="D70" s="6">
        <v>9631.4384343434322</v>
      </c>
      <c r="E70">
        <v>69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1</v>
      </c>
      <c r="O70" s="5">
        <v>0</v>
      </c>
      <c r="P70" s="5">
        <v>0</v>
      </c>
      <c r="R70" s="6">
        <v>17</v>
      </c>
      <c r="S70" s="6">
        <v>8151.6209595959581</v>
      </c>
      <c r="T70" s="6">
        <v>-92.620959595958084</v>
      </c>
    </row>
    <row r="71" spans="1:20" x14ac:dyDescent="0.25">
      <c r="A71">
        <v>70</v>
      </c>
      <c r="B71" s="1">
        <v>42644</v>
      </c>
      <c r="C71" s="2">
        <v>10319.200000000001</v>
      </c>
      <c r="D71" s="6">
        <v>10112.408434343432</v>
      </c>
      <c r="E71">
        <v>70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0</v>
      </c>
      <c r="R71" s="6">
        <v>18</v>
      </c>
      <c r="S71" s="6">
        <v>7809.3009595959575</v>
      </c>
      <c r="T71" s="6">
        <v>68.999040404042717</v>
      </c>
    </row>
    <row r="72" spans="1:20" x14ac:dyDescent="0.25">
      <c r="A72">
        <v>71</v>
      </c>
      <c r="B72" s="1">
        <v>42675</v>
      </c>
      <c r="C72" s="2">
        <v>10128.5</v>
      </c>
      <c r="D72" s="6">
        <v>10115.568434343433</v>
      </c>
      <c r="E72">
        <v>71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</v>
      </c>
      <c r="R72" s="6">
        <v>19</v>
      </c>
      <c r="S72" s="6">
        <v>8205.7509595959582</v>
      </c>
      <c r="T72" s="6">
        <v>109.44904040404253</v>
      </c>
    </row>
    <row r="73" spans="1:20" x14ac:dyDescent="0.25">
      <c r="A73">
        <v>72</v>
      </c>
      <c r="B73" s="1">
        <v>42705</v>
      </c>
      <c r="C73" s="2">
        <v>11731.2</v>
      </c>
      <c r="D73" s="6">
        <v>11645.088434343432</v>
      </c>
      <c r="E73">
        <v>72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R73" s="6">
        <v>20</v>
      </c>
      <c r="S73" s="6">
        <v>8370.5609595959577</v>
      </c>
      <c r="T73" s="6">
        <v>-10.260959595958411</v>
      </c>
    </row>
    <row r="74" spans="1:20" x14ac:dyDescent="0.25">
      <c r="A74">
        <v>73</v>
      </c>
      <c r="B74" s="1">
        <v>42736</v>
      </c>
      <c r="C74" s="2">
        <v>10244.9</v>
      </c>
      <c r="D74" s="6">
        <v>10176.775303030301</v>
      </c>
      <c r="E74">
        <v>73</v>
      </c>
      <c r="F74" s="5">
        <v>1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R74" s="6">
        <v>21</v>
      </c>
      <c r="S74" s="6">
        <v>8200.0109595959584</v>
      </c>
      <c r="T74" s="6">
        <v>74.189040404042316</v>
      </c>
    </row>
    <row r="75" spans="1:20" x14ac:dyDescent="0.25">
      <c r="A75">
        <v>74</v>
      </c>
      <c r="B75" s="1">
        <v>42767</v>
      </c>
      <c r="C75" s="2">
        <v>9556.9</v>
      </c>
      <c r="D75" s="6">
        <v>9360.5653030303001</v>
      </c>
      <c r="E75">
        <v>74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R75" s="6">
        <v>22</v>
      </c>
      <c r="S75" s="6">
        <v>8680.9809595959559</v>
      </c>
      <c r="T75" s="6">
        <v>-74.680959595956665</v>
      </c>
    </row>
    <row r="76" spans="1:20" x14ac:dyDescent="0.25">
      <c r="A76">
        <v>75</v>
      </c>
      <c r="B76" s="1">
        <v>42795</v>
      </c>
      <c r="C76" s="2">
        <v>10354</v>
      </c>
      <c r="D76" s="6">
        <v>10258.815303030304</v>
      </c>
      <c r="E76">
        <v>75</v>
      </c>
      <c r="F76" s="5">
        <v>0</v>
      </c>
      <c r="G76" s="5">
        <v>0</v>
      </c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R76" s="6">
        <v>23</v>
      </c>
      <c r="S76" s="6">
        <v>8684.1409595959576</v>
      </c>
      <c r="T76" s="6">
        <v>-114.24095959595797</v>
      </c>
    </row>
    <row r="77" spans="1:20" x14ac:dyDescent="0.25">
      <c r="A77">
        <v>76</v>
      </c>
      <c r="B77" s="1">
        <v>42826</v>
      </c>
      <c r="C77" s="2">
        <v>9727.9</v>
      </c>
      <c r="D77" s="6">
        <v>9851.1653030303023</v>
      </c>
      <c r="E77">
        <v>76</v>
      </c>
      <c r="F77" s="5">
        <v>0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R77" s="6">
        <v>24</v>
      </c>
      <c r="S77" s="6">
        <v>10213.660959595956</v>
      </c>
      <c r="T77" s="6">
        <v>-277.66095959595623</v>
      </c>
    </row>
    <row r="78" spans="1:20" x14ac:dyDescent="0.25">
      <c r="A78">
        <v>77</v>
      </c>
      <c r="B78" s="1">
        <v>42856</v>
      </c>
      <c r="C78" s="2">
        <v>9815.2000000000007</v>
      </c>
      <c r="D78" s="6">
        <v>9940.9053030303021</v>
      </c>
      <c r="E78">
        <v>77</v>
      </c>
      <c r="F78" s="5">
        <v>0</v>
      </c>
      <c r="G78" s="5">
        <v>0</v>
      </c>
      <c r="H78" s="5">
        <v>0</v>
      </c>
      <c r="I78" s="5">
        <v>0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R78" s="6">
        <v>25</v>
      </c>
      <c r="S78" s="6">
        <v>8745.3478282828255</v>
      </c>
      <c r="T78" s="6">
        <v>-210.54782828282623</v>
      </c>
    </row>
    <row r="79" spans="1:20" x14ac:dyDescent="0.25">
      <c r="A79">
        <v>78</v>
      </c>
      <c r="B79" s="1">
        <v>42887</v>
      </c>
      <c r="C79" s="2">
        <v>9516.5</v>
      </c>
      <c r="D79" s="6">
        <v>9598.5853030303024</v>
      </c>
      <c r="E79">
        <v>78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R79" s="6">
        <v>26</v>
      </c>
      <c r="S79" s="6">
        <v>7929.1378282828246</v>
      </c>
      <c r="T79" s="6">
        <v>189.96217171717581</v>
      </c>
    </row>
    <row r="80" spans="1:20" x14ac:dyDescent="0.25">
      <c r="A80">
        <v>79</v>
      </c>
      <c r="B80" s="1">
        <v>42917</v>
      </c>
      <c r="C80" s="2">
        <v>9928.5</v>
      </c>
      <c r="D80" s="6">
        <v>9995.0353030303031</v>
      </c>
      <c r="E80">
        <v>79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R80" s="6">
        <v>27</v>
      </c>
      <c r="S80" s="6">
        <v>8827.3878282828282</v>
      </c>
      <c r="T80" s="6">
        <v>-90.787828282827832</v>
      </c>
    </row>
    <row r="81" spans="1:20" x14ac:dyDescent="0.25">
      <c r="A81">
        <v>80</v>
      </c>
      <c r="B81" s="1">
        <v>42948</v>
      </c>
      <c r="C81" s="2">
        <v>10041.9</v>
      </c>
      <c r="D81" s="6">
        <v>10159.845303030303</v>
      </c>
      <c r="E81">
        <v>80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1</v>
      </c>
      <c r="N81" s="5">
        <v>0</v>
      </c>
      <c r="O81" s="5">
        <v>0</v>
      </c>
      <c r="P81" s="5">
        <v>0</v>
      </c>
      <c r="R81" s="6">
        <v>28</v>
      </c>
      <c r="S81" s="6">
        <v>8419.7378282828267</v>
      </c>
      <c r="T81" s="6">
        <v>-20.537828282826013</v>
      </c>
    </row>
    <row r="82" spans="1:20" x14ac:dyDescent="0.25">
      <c r="A82">
        <v>81</v>
      </c>
      <c r="B82" s="1">
        <v>42979</v>
      </c>
      <c r="C82" s="2">
        <v>10005.700000000001</v>
      </c>
      <c r="D82" s="6">
        <v>9989.2953030303033</v>
      </c>
      <c r="E82">
        <v>81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1</v>
      </c>
      <c r="O82" s="5">
        <v>0</v>
      </c>
      <c r="P82" s="5">
        <v>0</v>
      </c>
      <c r="R82" s="6">
        <v>29</v>
      </c>
      <c r="S82" s="6">
        <v>8509.4778282828265</v>
      </c>
      <c r="T82" s="6">
        <v>-58.777828282825794</v>
      </c>
    </row>
    <row r="83" spans="1:20" x14ac:dyDescent="0.25">
      <c r="A83">
        <v>82</v>
      </c>
      <c r="B83" s="1">
        <v>43009</v>
      </c>
      <c r="C83" s="2">
        <v>10482.6</v>
      </c>
      <c r="D83" s="6">
        <v>10470.265303030301</v>
      </c>
      <c r="E83">
        <v>82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R83" s="6">
        <v>30</v>
      </c>
      <c r="S83" s="6">
        <v>8167.1578282828268</v>
      </c>
      <c r="T83" s="6">
        <v>102.54217171717391</v>
      </c>
    </row>
    <row r="84" spans="1:20" x14ac:dyDescent="0.25">
      <c r="A84">
        <v>83</v>
      </c>
      <c r="B84" s="1">
        <v>43040</v>
      </c>
      <c r="C84" s="2">
        <v>10435.700000000001</v>
      </c>
      <c r="D84" s="6">
        <v>10473.425303030303</v>
      </c>
      <c r="E84">
        <v>83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1</v>
      </c>
      <c r="R84" s="6">
        <v>31</v>
      </c>
      <c r="S84" s="6">
        <v>8563.6078282828275</v>
      </c>
      <c r="T84" s="6">
        <v>-63.207828282827904</v>
      </c>
    </row>
    <row r="85" spans="1:20" x14ac:dyDescent="0.25">
      <c r="A85">
        <v>84</v>
      </c>
      <c r="B85" s="1">
        <v>43070</v>
      </c>
      <c r="C85" s="2">
        <v>12230.1</v>
      </c>
      <c r="D85" s="6">
        <v>12002.945303030301</v>
      </c>
      <c r="E85">
        <v>84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R85" s="6">
        <v>32</v>
      </c>
      <c r="S85" s="6">
        <v>8728.417828282827</v>
      </c>
      <c r="T85" s="6">
        <v>59.482171717172605</v>
      </c>
    </row>
    <row r="86" spans="1:20" x14ac:dyDescent="0.25">
      <c r="A86">
        <v>85</v>
      </c>
      <c r="B86" s="1">
        <v>43101</v>
      </c>
      <c r="C86" s="2">
        <v>10431.5</v>
      </c>
      <c r="D86" s="6">
        <v>10534.63217171717</v>
      </c>
      <c r="E86">
        <v>85</v>
      </c>
      <c r="F86" s="5">
        <v>1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R86" s="6">
        <v>33</v>
      </c>
      <c r="S86" s="6">
        <v>8557.8678282828259</v>
      </c>
      <c r="T86" s="6">
        <v>24.932171717173333</v>
      </c>
    </row>
    <row r="87" spans="1:20" x14ac:dyDescent="0.25">
      <c r="A87">
        <v>86</v>
      </c>
      <c r="B87" s="1">
        <v>43132</v>
      </c>
      <c r="C87" s="2">
        <v>9574.6</v>
      </c>
      <c r="D87" s="6">
        <v>9718.4221717171695</v>
      </c>
      <c r="E87">
        <v>86</v>
      </c>
      <c r="F87" s="5">
        <v>0</v>
      </c>
      <c r="G87" s="5">
        <v>1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R87" s="6">
        <v>34</v>
      </c>
      <c r="S87" s="6">
        <v>9038.8378282828253</v>
      </c>
      <c r="T87" s="6">
        <v>-56.837828282825285</v>
      </c>
    </row>
    <row r="88" spans="1:20" x14ac:dyDescent="0.25">
      <c r="A88">
        <v>87</v>
      </c>
      <c r="B88" s="1">
        <v>43160</v>
      </c>
      <c r="C88" s="2">
        <v>10510.3</v>
      </c>
      <c r="D88" s="6">
        <v>10616.672171717171</v>
      </c>
      <c r="E88">
        <v>87</v>
      </c>
      <c r="F88" s="5">
        <v>0</v>
      </c>
      <c r="G88" s="5">
        <v>0</v>
      </c>
      <c r="H88" s="5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R88" s="6">
        <v>35</v>
      </c>
      <c r="S88" s="6">
        <v>9041.997828282827</v>
      </c>
      <c r="T88" s="6">
        <v>6.5021717171730415</v>
      </c>
    </row>
    <row r="89" spans="1:20" x14ac:dyDescent="0.25">
      <c r="A89">
        <v>88</v>
      </c>
      <c r="B89" s="1">
        <v>43191</v>
      </c>
      <c r="C89" s="2">
        <v>10274.1</v>
      </c>
      <c r="D89" s="6">
        <v>10209.02217171717</v>
      </c>
      <c r="E89">
        <v>88</v>
      </c>
      <c r="F89" s="5">
        <v>0</v>
      </c>
      <c r="G89" s="5">
        <v>0</v>
      </c>
      <c r="H89" s="5">
        <v>0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R89" s="6">
        <v>36</v>
      </c>
      <c r="S89" s="6">
        <v>10571.517828282826</v>
      </c>
      <c r="T89" s="6">
        <v>-309.41782828282521</v>
      </c>
    </row>
    <row r="90" spans="1:20" x14ac:dyDescent="0.25">
      <c r="A90">
        <v>89</v>
      </c>
      <c r="B90" s="1">
        <v>43221</v>
      </c>
      <c r="C90" s="2">
        <v>10189.700000000001</v>
      </c>
      <c r="D90" s="6">
        <v>10298.76217171717</v>
      </c>
      <c r="E90">
        <v>89</v>
      </c>
      <c r="F90" s="5">
        <v>0</v>
      </c>
      <c r="G90" s="5">
        <v>0</v>
      </c>
      <c r="H90" s="5">
        <v>0</v>
      </c>
      <c r="I90" s="5">
        <v>0</v>
      </c>
      <c r="J90" s="5">
        <v>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R90" s="6">
        <v>37</v>
      </c>
      <c r="S90" s="6">
        <v>9103.2046969696949</v>
      </c>
      <c r="T90" s="6">
        <v>-35.604696969694487</v>
      </c>
    </row>
    <row r="91" spans="1:20" x14ac:dyDescent="0.25">
      <c r="A91">
        <v>90</v>
      </c>
      <c r="B91" s="1">
        <v>43252</v>
      </c>
      <c r="C91" s="2">
        <v>9857.6</v>
      </c>
      <c r="D91" s="6">
        <v>9956.4421717171699</v>
      </c>
      <c r="E91">
        <v>90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R91" s="6">
        <v>38</v>
      </c>
      <c r="S91" s="6">
        <v>8286.9946969696939</v>
      </c>
      <c r="T91" s="6">
        <v>-22.194696969694633</v>
      </c>
    </row>
    <row r="92" spans="1:20" x14ac:dyDescent="0.25">
      <c r="A92">
        <v>91</v>
      </c>
      <c r="B92" s="1">
        <v>43282</v>
      </c>
      <c r="C92" s="2">
        <v>10272.799999999999</v>
      </c>
      <c r="D92" s="6">
        <v>10352.892171717171</v>
      </c>
      <c r="E92">
        <v>91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R92" s="6">
        <v>39</v>
      </c>
      <c r="S92" s="6">
        <v>9185.2446969696957</v>
      </c>
      <c r="T92" s="6">
        <v>86.755303030304276</v>
      </c>
    </row>
    <row r="93" spans="1:20" x14ac:dyDescent="0.25">
      <c r="A93">
        <v>92</v>
      </c>
      <c r="B93" s="1">
        <v>43313</v>
      </c>
      <c r="C93" s="2">
        <v>10363.700000000001</v>
      </c>
      <c r="D93" s="6">
        <v>10517.70217171717</v>
      </c>
      <c r="E93">
        <v>92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1</v>
      </c>
      <c r="N93" s="5">
        <v>0</v>
      </c>
      <c r="O93" s="5">
        <v>0</v>
      </c>
      <c r="P93" s="5">
        <v>0</v>
      </c>
      <c r="R93" s="6">
        <v>40</v>
      </c>
      <c r="S93" s="6">
        <v>8777.5946969696943</v>
      </c>
      <c r="T93" s="6">
        <v>-162.69469696969463</v>
      </c>
    </row>
    <row r="94" spans="1:20" x14ac:dyDescent="0.25">
      <c r="A94">
        <v>93</v>
      </c>
      <c r="B94" s="1">
        <v>43344</v>
      </c>
      <c r="C94" s="2">
        <v>10307.9</v>
      </c>
      <c r="D94" s="6">
        <v>10347.152171717171</v>
      </c>
      <c r="E94">
        <v>93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5">
        <v>0</v>
      </c>
      <c r="P94" s="5">
        <v>0</v>
      </c>
      <c r="R94" s="6">
        <v>41</v>
      </c>
      <c r="S94" s="6">
        <v>8867.3346969696941</v>
      </c>
      <c r="T94" s="6">
        <v>9.1653030303059495</v>
      </c>
    </row>
    <row r="95" spans="1:20" x14ac:dyDescent="0.25">
      <c r="A95">
        <v>94</v>
      </c>
      <c r="B95" s="1">
        <v>43374</v>
      </c>
      <c r="C95" s="2">
        <v>10710.9</v>
      </c>
      <c r="D95" s="6">
        <v>10828.122171717168</v>
      </c>
      <c r="E95">
        <v>94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1</v>
      </c>
      <c r="P95" s="5">
        <v>0</v>
      </c>
      <c r="R95" s="6">
        <v>42</v>
      </c>
      <c r="S95" s="6">
        <v>8525.0146969696962</v>
      </c>
      <c r="T95" s="6">
        <v>-8.1146969696965243</v>
      </c>
    </row>
    <row r="96" spans="1:20" x14ac:dyDescent="0.25">
      <c r="A96">
        <v>95</v>
      </c>
      <c r="B96" s="1">
        <v>43405</v>
      </c>
      <c r="C96" s="2">
        <v>10780.7</v>
      </c>
      <c r="D96" s="6">
        <v>10831.28217171717</v>
      </c>
      <c r="E96">
        <v>95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1</v>
      </c>
      <c r="R96" s="6">
        <v>43</v>
      </c>
      <c r="S96" s="6">
        <v>8921.4646969696969</v>
      </c>
      <c r="T96" s="6">
        <v>-65.664696969697616</v>
      </c>
    </row>
    <row r="97" spans="1:20" x14ac:dyDescent="0.25">
      <c r="A97">
        <v>96</v>
      </c>
      <c r="B97" s="1">
        <v>43435</v>
      </c>
      <c r="C97" s="2">
        <v>12552.1</v>
      </c>
      <c r="D97" s="6">
        <v>12360.802171717169</v>
      </c>
      <c r="E97">
        <v>96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R97" s="6">
        <v>44</v>
      </c>
      <c r="S97" s="6">
        <v>9086.2746969696964</v>
      </c>
      <c r="T97" s="6">
        <v>101.82530303030398</v>
      </c>
    </row>
    <row r="98" spans="1:20" x14ac:dyDescent="0.25">
      <c r="A98">
        <v>97</v>
      </c>
      <c r="B98" s="1">
        <v>43466</v>
      </c>
      <c r="C98" s="2">
        <v>10713.3</v>
      </c>
      <c r="D98" s="6">
        <v>10892.48904040404</v>
      </c>
      <c r="E98">
        <v>97</v>
      </c>
      <c r="F98" s="5">
        <v>1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R98" s="6">
        <v>45</v>
      </c>
      <c r="S98" s="6">
        <v>8915.7246969696971</v>
      </c>
      <c r="T98" s="6">
        <v>-76.624696969696743</v>
      </c>
    </row>
    <row r="99" spans="1:20" x14ac:dyDescent="0.25">
      <c r="A99">
        <v>98</v>
      </c>
      <c r="B99" s="1">
        <v>43497</v>
      </c>
      <c r="C99" s="2">
        <v>9833.2000000000007</v>
      </c>
      <c r="D99" s="6">
        <v>10076.279040404039</v>
      </c>
      <c r="E99">
        <v>98</v>
      </c>
      <c r="F99" s="5">
        <v>0</v>
      </c>
      <c r="G99" s="5">
        <v>1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R99" s="6">
        <v>46</v>
      </c>
      <c r="S99" s="6">
        <v>9396.6946969696946</v>
      </c>
      <c r="T99" s="6">
        <v>-58.294696969694996</v>
      </c>
    </row>
    <row r="100" spans="1:20" x14ac:dyDescent="0.25">
      <c r="A100">
        <v>99</v>
      </c>
      <c r="B100" s="1">
        <v>43525</v>
      </c>
      <c r="C100" s="2">
        <v>11188.4</v>
      </c>
      <c r="D100" s="6">
        <v>10974.529040404041</v>
      </c>
      <c r="E100">
        <v>99</v>
      </c>
      <c r="F100" s="5">
        <v>0</v>
      </c>
      <c r="G100" s="5">
        <v>0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R100" s="6">
        <v>47</v>
      </c>
      <c r="S100" s="6">
        <v>9399.8546969696963</v>
      </c>
      <c r="T100" s="6">
        <v>-53.95469696969667</v>
      </c>
    </row>
    <row r="101" spans="1:20" x14ac:dyDescent="0.25">
      <c r="A101">
        <v>100</v>
      </c>
      <c r="B101" s="1">
        <v>43556</v>
      </c>
      <c r="C101" s="2">
        <v>10354.1</v>
      </c>
      <c r="D101" s="6">
        <v>10566.879040404039</v>
      </c>
      <c r="E101">
        <v>100</v>
      </c>
      <c r="F101" s="5">
        <v>0</v>
      </c>
      <c r="G101" s="5">
        <v>0</v>
      </c>
      <c r="H101" s="5">
        <v>0</v>
      </c>
      <c r="I101" s="5">
        <v>1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R101" s="6">
        <v>48</v>
      </c>
      <c r="S101" s="6">
        <v>10929.374696969695</v>
      </c>
      <c r="T101" s="6">
        <v>-72.974696969695287</v>
      </c>
    </row>
    <row r="102" spans="1:20" x14ac:dyDescent="0.25">
      <c r="A102">
        <v>101</v>
      </c>
      <c r="B102" s="1">
        <v>43586</v>
      </c>
      <c r="C102" s="2">
        <v>10645.2</v>
      </c>
      <c r="D102" s="6">
        <v>10656.619040404039</v>
      </c>
      <c r="E102">
        <v>101</v>
      </c>
      <c r="F102" s="5">
        <v>0</v>
      </c>
      <c r="G102" s="5">
        <v>0</v>
      </c>
      <c r="H102" s="5">
        <v>0</v>
      </c>
      <c r="I102" s="5">
        <v>0</v>
      </c>
      <c r="J102" s="5">
        <v>1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R102" s="6">
        <v>49</v>
      </c>
      <c r="S102" s="6">
        <v>9461.0615656565642</v>
      </c>
      <c r="T102" s="6">
        <v>240.53843434343617</v>
      </c>
    </row>
    <row r="103" spans="1:20" x14ac:dyDescent="0.25">
      <c r="A103">
        <v>102</v>
      </c>
      <c r="B103" s="1">
        <v>43617</v>
      </c>
      <c r="C103" s="2">
        <v>10268.200000000001</v>
      </c>
      <c r="D103" s="6">
        <v>10314.299040404039</v>
      </c>
      <c r="E103">
        <v>102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1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R103" s="6">
        <v>50</v>
      </c>
      <c r="S103" s="6">
        <v>8644.8515656565633</v>
      </c>
      <c r="T103" s="6">
        <v>23.048434343436384</v>
      </c>
    </row>
    <row r="104" spans="1:20" x14ac:dyDescent="0.25">
      <c r="A104">
        <v>103</v>
      </c>
      <c r="B104" s="1">
        <v>43647</v>
      </c>
      <c r="C104" s="2">
        <v>10604.4</v>
      </c>
      <c r="D104" s="6">
        <v>10710.74904040404</v>
      </c>
      <c r="E104">
        <v>103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1</v>
      </c>
      <c r="M104" s="5">
        <v>0</v>
      </c>
      <c r="N104" s="5">
        <v>0</v>
      </c>
      <c r="O104" s="5">
        <v>0</v>
      </c>
      <c r="P104" s="5">
        <v>0</v>
      </c>
      <c r="R104" s="6">
        <v>51</v>
      </c>
      <c r="S104" s="6">
        <v>9543.1015656565651</v>
      </c>
      <c r="T104" s="6">
        <v>-18.501565656564708</v>
      </c>
    </row>
    <row r="105" spans="1:20" x14ac:dyDescent="0.25">
      <c r="A105">
        <v>104</v>
      </c>
      <c r="B105" s="1">
        <v>43678</v>
      </c>
      <c r="C105" s="2">
        <v>10852.2</v>
      </c>
      <c r="D105" s="6">
        <v>10875.559040404039</v>
      </c>
      <c r="E105">
        <v>104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1</v>
      </c>
      <c r="N105" s="5">
        <v>0</v>
      </c>
      <c r="O105" s="5">
        <v>0</v>
      </c>
      <c r="P105" s="5">
        <v>0</v>
      </c>
      <c r="R105" s="6">
        <v>52</v>
      </c>
      <c r="S105" s="6">
        <v>9135.4515656565636</v>
      </c>
      <c r="T105" s="6">
        <v>88.44843434343602</v>
      </c>
    </row>
    <row r="106" spans="1:20" x14ac:dyDescent="0.25">
      <c r="A106">
        <v>105</v>
      </c>
      <c r="B106" s="1">
        <v>43709</v>
      </c>
      <c r="C106" s="2">
        <v>10713.8</v>
      </c>
      <c r="D106" s="6">
        <v>10705.009040404038</v>
      </c>
      <c r="E106">
        <v>105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1</v>
      </c>
      <c r="O106" s="5">
        <v>0</v>
      </c>
      <c r="P106" s="5">
        <v>0</v>
      </c>
      <c r="R106" s="6">
        <v>53</v>
      </c>
      <c r="S106" s="6">
        <v>9225.1915656565634</v>
      </c>
      <c r="T106" s="6">
        <v>160.8084343434366</v>
      </c>
    </row>
    <row r="107" spans="1:20" x14ac:dyDescent="0.25">
      <c r="A107">
        <v>106</v>
      </c>
      <c r="B107" s="1">
        <v>43739</v>
      </c>
      <c r="C107" s="2">
        <v>11126.1</v>
      </c>
      <c r="D107" s="6">
        <v>11185.979040404038</v>
      </c>
      <c r="E107">
        <v>106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1</v>
      </c>
      <c r="P107" s="5">
        <v>0</v>
      </c>
      <c r="R107" s="6">
        <v>54</v>
      </c>
      <c r="S107" s="6">
        <v>8882.8715656565637</v>
      </c>
      <c r="T107" s="6">
        <v>94.628434343436311</v>
      </c>
    </row>
    <row r="108" spans="1:20" x14ac:dyDescent="0.25">
      <c r="A108">
        <v>107</v>
      </c>
      <c r="B108" s="1">
        <v>43770</v>
      </c>
      <c r="C108" s="2">
        <v>11214.7</v>
      </c>
      <c r="D108" s="6">
        <v>11189.139040404039</v>
      </c>
      <c r="E108">
        <v>107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1</v>
      </c>
      <c r="R108" s="6">
        <v>55</v>
      </c>
      <c r="S108" s="6">
        <v>9279.3215656565644</v>
      </c>
      <c r="T108" s="6">
        <v>113.97843434343486</v>
      </c>
    </row>
    <row r="109" spans="1:20" x14ac:dyDescent="0.25">
      <c r="A109">
        <v>108</v>
      </c>
      <c r="B109" s="1">
        <v>43800</v>
      </c>
      <c r="C109" s="2">
        <v>13037.6</v>
      </c>
      <c r="D109" s="6">
        <v>12718.659040404038</v>
      </c>
      <c r="E109">
        <v>108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R109" s="6">
        <v>56</v>
      </c>
      <c r="S109" s="6">
        <v>9444.1315656565639</v>
      </c>
      <c r="T109" s="6">
        <v>138.26843434343573</v>
      </c>
    </row>
    <row r="110" spans="1:20" x14ac:dyDescent="0.25">
      <c r="A110">
        <v>109</v>
      </c>
      <c r="B110" s="1">
        <v>43831</v>
      </c>
      <c r="C110" s="2">
        <v>11253.8</v>
      </c>
      <c r="D110" s="6">
        <v>11250.345909090909</v>
      </c>
      <c r="E110">
        <v>109</v>
      </c>
      <c r="F110" s="5">
        <v>1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R110" s="6">
        <v>57</v>
      </c>
      <c r="S110" s="6">
        <v>9273.5815656565646</v>
      </c>
      <c r="T110" s="6">
        <v>80.218434343434637</v>
      </c>
    </row>
    <row r="111" spans="1:20" x14ac:dyDescent="0.25">
      <c r="A111">
        <v>110</v>
      </c>
      <c r="B111" s="1">
        <v>43862</v>
      </c>
      <c r="C111" s="2">
        <v>10308.6</v>
      </c>
      <c r="D111" s="6">
        <v>10434.135909090908</v>
      </c>
      <c r="E111">
        <v>110</v>
      </c>
      <c r="F111" s="5">
        <v>0</v>
      </c>
      <c r="G111" s="5">
        <v>1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R111" s="6">
        <v>58</v>
      </c>
      <c r="S111" s="6">
        <v>9754.5515656565622</v>
      </c>
      <c r="T111" s="6">
        <v>209.84843434343748</v>
      </c>
    </row>
    <row r="112" spans="1:20" x14ac:dyDescent="0.25">
      <c r="A112">
        <v>111</v>
      </c>
      <c r="B112" s="1">
        <v>43891</v>
      </c>
      <c r="C112" s="2">
        <v>11405.1</v>
      </c>
      <c r="D112" s="6">
        <v>11332.38590909091</v>
      </c>
      <c r="E112">
        <v>111</v>
      </c>
      <c r="F112" s="5">
        <v>0</v>
      </c>
      <c r="G112" s="5">
        <v>0</v>
      </c>
      <c r="H112" s="5">
        <v>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R112" s="6">
        <v>59</v>
      </c>
      <c r="S112" s="6">
        <v>9757.7115656565638</v>
      </c>
      <c r="T112" s="6">
        <v>153.38843434343653</v>
      </c>
    </row>
    <row r="113" spans="1:22" x14ac:dyDescent="0.25">
      <c r="A113">
        <v>112</v>
      </c>
      <c r="B113" s="1">
        <v>43922</v>
      </c>
      <c r="C113" s="2">
        <v>10964.8</v>
      </c>
      <c r="D113" s="6">
        <v>10924.735909090909</v>
      </c>
      <c r="E113">
        <v>112</v>
      </c>
      <c r="F113" s="5">
        <v>0</v>
      </c>
      <c r="G113" s="5">
        <v>0</v>
      </c>
      <c r="H113" s="5">
        <v>0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R113" s="6">
        <v>60</v>
      </c>
      <c r="S113" s="6">
        <v>11287.231565656562</v>
      </c>
      <c r="T113" s="6">
        <v>-15.631565656562088</v>
      </c>
    </row>
    <row r="114" spans="1:22" x14ac:dyDescent="0.25">
      <c r="A114">
        <v>113</v>
      </c>
      <c r="B114" s="1">
        <v>43952</v>
      </c>
      <c r="C114" s="2">
        <v>11024.2</v>
      </c>
      <c r="D114" s="6">
        <v>11014.475909090908</v>
      </c>
      <c r="E114">
        <v>113</v>
      </c>
      <c r="F114" s="5">
        <v>0</v>
      </c>
      <c r="G114" s="5">
        <v>0</v>
      </c>
      <c r="H114" s="5">
        <v>0</v>
      </c>
      <c r="I114" s="5">
        <v>0</v>
      </c>
      <c r="J114" s="5">
        <v>1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R114" s="6">
        <v>61</v>
      </c>
      <c r="S114" s="6">
        <v>9818.9184343434335</v>
      </c>
      <c r="T114" s="6">
        <v>136.48156565656609</v>
      </c>
    </row>
    <row r="115" spans="1:22" x14ac:dyDescent="0.25">
      <c r="A115">
        <v>114</v>
      </c>
      <c r="B115" s="1">
        <v>43983</v>
      </c>
      <c r="C115" s="2">
        <v>10587.6</v>
      </c>
      <c r="D115" s="6">
        <v>10672.155909090909</v>
      </c>
      <c r="E115">
        <v>114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R115" s="6">
        <v>62</v>
      </c>
      <c r="S115" s="6">
        <v>9002.7084343434326</v>
      </c>
      <c r="T115" s="6">
        <v>17.2915656565674</v>
      </c>
    </row>
    <row r="116" spans="1:22" x14ac:dyDescent="0.25">
      <c r="A116">
        <v>115</v>
      </c>
      <c r="B116" s="1">
        <v>44013</v>
      </c>
      <c r="C116" s="2">
        <v>10949.7</v>
      </c>
      <c r="D116" s="6">
        <v>11068.605909090909</v>
      </c>
      <c r="E116">
        <v>115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1</v>
      </c>
      <c r="M116" s="5">
        <v>0</v>
      </c>
      <c r="N116" s="5">
        <v>0</v>
      </c>
      <c r="O116" s="5">
        <v>0</v>
      </c>
      <c r="P116" s="5">
        <v>0</v>
      </c>
      <c r="R116" s="6">
        <v>63</v>
      </c>
      <c r="S116" s="6">
        <v>9900.9584343434344</v>
      </c>
      <c r="T116" s="6">
        <v>25.541565656565581</v>
      </c>
    </row>
    <row r="117" spans="1:22" x14ac:dyDescent="0.25">
      <c r="A117">
        <v>116</v>
      </c>
      <c r="B117" s="1">
        <v>44044</v>
      </c>
      <c r="C117" s="2">
        <v>11294.6</v>
      </c>
      <c r="D117" s="6">
        <v>11233.415909090909</v>
      </c>
      <c r="E117">
        <v>116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  <c r="R117" s="6">
        <v>64</v>
      </c>
      <c r="S117" s="6">
        <v>9493.308434343433</v>
      </c>
      <c r="T117" s="6">
        <v>44.691565656567036</v>
      </c>
    </row>
    <row r="118" spans="1:22" x14ac:dyDescent="0.25">
      <c r="A118">
        <v>117</v>
      </c>
      <c r="B118" s="1">
        <v>44075</v>
      </c>
      <c r="C118" s="2">
        <v>10946.6</v>
      </c>
      <c r="D118" s="6">
        <v>11062.86590909091</v>
      </c>
      <c r="E118">
        <v>117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1</v>
      </c>
      <c r="O118" s="5">
        <v>0</v>
      </c>
      <c r="P118" s="5">
        <v>0</v>
      </c>
      <c r="R118" s="6">
        <v>65</v>
      </c>
      <c r="S118" s="6">
        <v>9583.0484343434327</v>
      </c>
      <c r="T118" s="6">
        <v>124.05156565656762</v>
      </c>
    </row>
    <row r="119" spans="1:22" x14ac:dyDescent="0.25">
      <c r="A119">
        <v>118</v>
      </c>
      <c r="B119" s="1">
        <v>44105</v>
      </c>
      <c r="C119" s="2">
        <v>11565.4</v>
      </c>
      <c r="D119" s="6">
        <v>11543.835909090907</v>
      </c>
      <c r="E119">
        <v>118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1</v>
      </c>
      <c r="P119" s="5">
        <v>0</v>
      </c>
      <c r="R119" s="6">
        <v>66</v>
      </c>
      <c r="S119" s="6">
        <v>9240.728434343433</v>
      </c>
      <c r="T119" s="6">
        <v>-22.928434343433764</v>
      </c>
    </row>
    <row r="120" spans="1:22" x14ac:dyDescent="0.25">
      <c r="A120">
        <v>119</v>
      </c>
      <c r="B120" s="1">
        <v>44136</v>
      </c>
      <c r="C120" s="2">
        <v>11643.3</v>
      </c>
      <c r="D120" s="6">
        <v>11546.995909090909</v>
      </c>
      <c r="E120">
        <v>119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1</v>
      </c>
      <c r="R120" s="6">
        <v>67</v>
      </c>
      <c r="S120" s="6">
        <v>9637.1784343434338</v>
      </c>
      <c r="T120" s="6">
        <v>80.821565656566236</v>
      </c>
      <c r="U120" s="6" t="s">
        <v>26</v>
      </c>
      <c r="V120" s="6">
        <v>9497.9472222222194</v>
      </c>
    </row>
    <row r="121" spans="1:22" ht="15.75" thickBot="1" x14ac:dyDescent="0.3">
      <c r="A121">
        <v>120</v>
      </c>
      <c r="B121" s="1">
        <v>44166</v>
      </c>
      <c r="C121" s="2">
        <v>13292.7</v>
      </c>
      <c r="D121" s="7">
        <v>13076.515909090907</v>
      </c>
      <c r="E121">
        <v>120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R121" s="6">
        <v>68</v>
      </c>
      <c r="S121" s="6">
        <v>9801.9884343434333</v>
      </c>
      <c r="T121" s="6">
        <v>32.811565656566017</v>
      </c>
      <c r="U121" s="6" t="s">
        <v>2</v>
      </c>
      <c r="V121" s="6">
        <v>29.821405723905734</v>
      </c>
    </row>
    <row r="122" spans="1:22" x14ac:dyDescent="0.25">
      <c r="A122">
        <v>121</v>
      </c>
      <c r="B122" s="1">
        <v>44197</v>
      </c>
      <c r="C122" s="2"/>
      <c r="D122">
        <f>$V$120+$V$121*E122+$V$122*F122+$V$123*G122+$V$124*H122+$V$125*I122+$V$126*J122+$V$127*K122+$V$128*L122+$V$129*M122+$V$130*N122+$V$131*O122+$V$132*P122</f>
        <v>11608.202777777777</v>
      </c>
      <c r="E122">
        <v>121</v>
      </c>
      <c r="F122" s="5">
        <v>1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R122" s="6">
        <v>69</v>
      </c>
      <c r="S122" s="6">
        <v>9631.4384343434322</v>
      </c>
      <c r="T122" s="6">
        <v>14.361565656567109</v>
      </c>
      <c r="U122" s="6" t="s">
        <v>4</v>
      </c>
      <c r="V122" s="6">
        <v>-1498.1345370370366</v>
      </c>
    </row>
    <row r="123" spans="1:22" x14ac:dyDescent="0.25">
      <c r="A123">
        <v>122</v>
      </c>
      <c r="B123" s="1">
        <v>44228</v>
      </c>
      <c r="C123" s="2"/>
      <c r="D123" s="5">
        <f t="shared" ref="D123:D133" si="0">$V$120+$V$121*E123+$V$122*F123+$V$123*G123+$V$124*H123+$V$125*I123+$V$126*J123+$V$127*K123+$V$128*L123+$V$129*M123+$V$130*N123+$V$131*O123+$V$132*P123</f>
        <v>10791.992777777776</v>
      </c>
      <c r="E123">
        <v>122</v>
      </c>
      <c r="F123" s="5">
        <v>0</v>
      </c>
      <c r="G123" s="5">
        <v>1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R123" s="6">
        <v>70</v>
      </c>
      <c r="S123" s="6">
        <v>10112.408434343432</v>
      </c>
      <c r="T123" s="6">
        <v>206.79156565656922</v>
      </c>
      <c r="U123" s="6" t="s">
        <v>5</v>
      </c>
      <c r="V123" s="6">
        <v>-2344.1659427609425</v>
      </c>
    </row>
    <row r="124" spans="1:22" x14ac:dyDescent="0.25">
      <c r="A124">
        <v>123</v>
      </c>
      <c r="B124" s="1">
        <v>44256</v>
      </c>
      <c r="C124" s="2"/>
      <c r="D124" s="5">
        <f t="shared" si="0"/>
        <v>11690.242777777778</v>
      </c>
      <c r="E124">
        <v>123</v>
      </c>
      <c r="F124" s="5">
        <v>0</v>
      </c>
      <c r="G124" s="5">
        <v>0</v>
      </c>
      <c r="H124" s="5">
        <v>1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R124" s="6">
        <v>71</v>
      </c>
      <c r="S124" s="6">
        <v>10115.568434343433</v>
      </c>
      <c r="T124" s="6">
        <v>12.931565656566818</v>
      </c>
      <c r="U124" s="6" t="s">
        <v>6</v>
      </c>
      <c r="V124" s="6">
        <v>-1475.7373484848472</v>
      </c>
    </row>
    <row r="125" spans="1:22" x14ac:dyDescent="0.25">
      <c r="A125">
        <v>124</v>
      </c>
      <c r="B125" s="1">
        <v>44287</v>
      </c>
      <c r="C125" s="2"/>
      <c r="D125" s="5">
        <f t="shared" si="0"/>
        <v>11282.592777777776</v>
      </c>
      <c r="E125">
        <v>124</v>
      </c>
      <c r="F125" s="5">
        <v>0</v>
      </c>
      <c r="G125" s="5">
        <v>0</v>
      </c>
      <c r="H125" s="5">
        <v>0</v>
      </c>
      <c r="I125" s="5">
        <v>1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R125" s="6">
        <v>72</v>
      </c>
      <c r="S125" s="6">
        <v>11645.088434343432</v>
      </c>
      <c r="T125" s="6">
        <v>86.111565656568928</v>
      </c>
      <c r="U125" s="6" t="s">
        <v>7</v>
      </c>
      <c r="V125" s="6">
        <v>-1913.2087542087536</v>
      </c>
    </row>
    <row r="126" spans="1:22" x14ac:dyDescent="0.25">
      <c r="A126">
        <v>125</v>
      </c>
      <c r="B126" s="1">
        <v>44317</v>
      </c>
      <c r="C126" s="2"/>
      <c r="D126" s="5">
        <f t="shared" si="0"/>
        <v>11372.332777777776</v>
      </c>
      <c r="E126">
        <v>125</v>
      </c>
      <c r="F126" s="5">
        <v>0</v>
      </c>
      <c r="G126" s="5">
        <v>0</v>
      </c>
      <c r="H126" s="5">
        <v>0</v>
      </c>
      <c r="I126" s="5">
        <v>0</v>
      </c>
      <c r="J126" s="5">
        <v>1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R126" s="6">
        <v>73</v>
      </c>
      <c r="S126" s="6">
        <v>10176.775303030301</v>
      </c>
      <c r="T126" s="6">
        <v>68.124696969698562</v>
      </c>
      <c r="U126" s="6" t="s">
        <v>8</v>
      </c>
      <c r="V126" s="6">
        <v>-1853.290159932659</v>
      </c>
    </row>
    <row r="127" spans="1:22" x14ac:dyDescent="0.25">
      <c r="A127">
        <v>126</v>
      </c>
      <c r="B127" s="1">
        <v>44348</v>
      </c>
      <c r="C127" s="2"/>
      <c r="D127" s="5">
        <f t="shared" si="0"/>
        <v>11030.012777777776</v>
      </c>
      <c r="E127">
        <v>126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R127" s="6">
        <v>74</v>
      </c>
      <c r="S127" s="6">
        <v>9360.5653030303001</v>
      </c>
      <c r="T127" s="6">
        <v>196.33469696969951</v>
      </c>
      <c r="U127" s="6" t="s">
        <v>9</v>
      </c>
      <c r="V127" s="6">
        <v>-2225.431565656565</v>
      </c>
    </row>
    <row r="128" spans="1:22" x14ac:dyDescent="0.25">
      <c r="A128">
        <v>127</v>
      </c>
      <c r="B128" s="1">
        <v>44378</v>
      </c>
      <c r="D128" s="5">
        <f t="shared" si="0"/>
        <v>11426.462777777777</v>
      </c>
      <c r="E128">
        <v>127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R128" s="6">
        <v>75</v>
      </c>
      <c r="S128" s="6">
        <v>10258.815303030304</v>
      </c>
      <c r="T128" s="6">
        <v>95.184696969696233</v>
      </c>
      <c r="U128" s="6" t="s">
        <v>10</v>
      </c>
      <c r="V128" s="6">
        <v>-1858.8029713804704</v>
      </c>
    </row>
    <row r="129" spans="1:22" x14ac:dyDescent="0.25">
      <c r="A129">
        <v>128</v>
      </c>
      <c r="B129" s="1">
        <v>44409</v>
      </c>
      <c r="D129" s="5">
        <f t="shared" si="0"/>
        <v>11591.272777777776</v>
      </c>
      <c r="E129">
        <v>128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  <c r="R129" s="6">
        <v>76</v>
      </c>
      <c r="S129" s="6">
        <v>9851.1653030303023</v>
      </c>
      <c r="T129" s="6">
        <v>-123.26530303030268</v>
      </c>
      <c r="U129" s="6" t="s">
        <v>11</v>
      </c>
      <c r="V129" s="6">
        <v>-1723.8143771043767</v>
      </c>
    </row>
    <row r="130" spans="1:22" x14ac:dyDescent="0.25">
      <c r="A130">
        <v>129</v>
      </c>
      <c r="B130" s="1">
        <v>44440</v>
      </c>
      <c r="D130" s="5">
        <f t="shared" si="0"/>
        <v>11420.722777777777</v>
      </c>
      <c r="E130">
        <v>129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1</v>
      </c>
      <c r="O130" s="5">
        <v>0</v>
      </c>
      <c r="P130" s="5">
        <v>0</v>
      </c>
      <c r="R130" s="6">
        <v>77</v>
      </c>
      <c r="S130" s="6">
        <v>9940.9053030303021</v>
      </c>
      <c r="T130" s="6">
        <v>-125.70530303030137</v>
      </c>
      <c r="U130" s="6" t="s">
        <v>12</v>
      </c>
      <c r="V130" s="6">
        <v>-1924.1857828282818</v>
      </c>
    </row>
    <row r="131" spans="1:22" x14ac:dyDescent="0.25">
      <c r="A131">
        <v>130</v>
      </c>
      <c r="B131" s="1">
        <v>44470</v>
      </c>
      <c r="D131" s="5">
        <f t="shared" si="0"/>
        <v>11901.692777777775</v>
      </c>
      <c r="E131">
        <v>130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1</v>
      </c>
      <c r="P131" s="5">
        <v>0</v>
      </c>
      <c r="R131" s="6">
        <v>78</v>
      </c>
      <c r="S131" s="6">
        <v>9598.5853030303024</v>
      </c>
      <c r="T131" s="6">
        <v>-82.085303030302384</v>
      </c>
      <c r="U131" s="6" t="s">
        <v>13</v>
      </c>
      <c r="V131" s="6">
        <v>-1473.0371885521884</v>
      </c>
    </row>
    <row r="132" spans="1:22" ht="15.75" thickBot="1" x14ac:dyDescent="0.3">
      <c r="A132">
        <v>131</v>
      </c>
      <c r="B132" s="1">
        <v>44501</v>
      </c>
      <c r="D132" s="5">
        <f t="shared" si="0"/>
        <v>11904.852777777778</v>
      </c>
      <c r="E132">
        <v>131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1</v>
      </c>
      <c r="R132" s="6">
        <v>79</v>
      </c>
      <c r="S132" s="6">
        <v>9995.0353030303031</v>
      </c>
      <c r="T132" s="6">
        <v>-66.535303030303112</v>
      </c>
      <c r="U132" s="7" t="s">
        <v>14</v>
      </c>
      <c r="V132" s="7">
        <v>-1499.698594276093</v>
      </c>
    </row>
    <row r="133" spans="1:22" x14ac:dyDescent="0.25">
      <c r="A133">
        <v>132</v>
      </c>
      <c r="B133" s="1">
        <v>44531</v>
      </c>
      <c r="D133" s="5">
        <f t="shared" si="0"/>
        <v>13434.372777777777</v>
      </c>
      <c r="E133">
        <v>132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R133" s="6">
        <v>80</v>
      </c>
      <c r="S133" s="6">
        <v>10159.845303030303</v>
      </c>
      <c r="T133" s="6">
        <v>-117.94530303030297</v>
      </c>
    </row>
    <row r="134" spans="1:22" x14ac:dyDescent="0.25">
      <c r="R134" s="6">
        <v>81</v>
      </c>
      <c r="S134" s="6">
        <v>9989.2953030303033</v>
      </c>
      <c r="T134" s="6">
        <v>16.404696969697397</v>
      </c>
    </row>
    <row r="135" spans="1:22" x14ac:dyDescent="0.25">
      <c r="R135" s="6">
        <v>82</v>
      </c>
      <c r="S135" s="6">
        <v>10470.265303030301</v>
      </c>
      <c r="T135" s="6">
        <v>12.334696969699507</v>
      </c>
    </row>
    <row r="136" spans="1:22" x14ac:dyDescent="0.25">
      <c r="R136" s="6">
        <v>83</v>
      </c>
      <c r="S136" s="6">
        <v>10473.425303030303</v>
      </c>
      <c r="T136" s="6">
        <v>-37.725303030301802</v>
      </c>
    </row>
    <row r="137" spans="1:22" x14ac:dyDescent="0.25">
      <c r="R137" s="6">
        <v>84</v>
      </c>
      <c r="S137" s="6">
        <v>12002.945303030301</v>
      </c>
      <c r="T137" s="6">
        <v>227.15469696969922</v>
      </c>
    </row>
    <row r="138" spans="1:22" x14ac:dyDescent="0.25">
      <c r="R138" s="6">
        <v>85</v>
      </c>
      <c r="S138" s="6">
        <v>10534.63217171717</v>
      </c>
      <c r="T138" s="6">
        <v>-103.13217171717042</v>
      </c>
    </row>
    <row r="139" spans="1:22" x14ac:dyDescent="0.25">
      <c r="R139" s="6">
        <v>86</v>
      </c>
      <c r="S139" s="6">
        <v>9718.4221717171695</v>
      </c>
      <c r="T139" s="6">
        <v>-143.82217171716911</v>
      </c>
    </row>
    <row r="140" spans="1:22" x14ac:dyDescent="0.25">
      <c r="R140" s="6">
        <v>87</v>
      </c>
      <c r="S140" s="6">
        <v>10616.672171717171</v>
      </c>
      <c r="T140" s="6">
        <v>-106.37217171717202</v>
      </c>
    </row>
    <row r="141" spans="1:22" x14ac:dyDescent="0.25">
      <c r="R141" s="6">
        <v>88</v>
      </c>
      <c r="S141" s="6">
        <v>10209.02217171717</v>
      </c>
      <c r="T141" s="6">
        <v>65.077828282830524</v>
      </c>
    </row>
    <row r="142" spans="1:22" x14ac:dyDescent="0.25">
      <c r="R142" s="6">
        <v>89</v>
      </c>
      <c r="S142" s="6">
        <v>10298.76217171717</v>
      </c>
      <c r="T142" s="6">
        <v>-109.06217171716889</v>
      </c>
    </row>
    <row r="143" spans="1:22" x14ac:dyDescent="0.25">
      <c r="R143" s="6">
        <v>90</v>
      </c>
      <c r="S143" s="6">
        <v>9956.4421717171699</v>
      </c>
      <c r="T143" s="6">
        <v>-98.842171717169549</v>
      </c>
    </row>
    <row r="144" spans="1:22" x14ac:dyDescent="0.25">
      <c r="R144" s="6">
        <v>91</v>
      </c>
      <c r="S144" s="6">
        <v>10352.892171717171</v>
      </c>
      <c r="T144" s="6">
        <v>-80.092171717171368</v>
      </c>
    </row>
    <row r="145" spans="18:20" x14ac:dyDescent="0.25">
      <c r="R145" s="6">
        <v>92</v>
      </c>
      <c r="S145" s="6">
        <v>10517.70217171717</v>
      </c>
      <c r="T145" s="6">
        <v>-154.0021717171694</v>
      </c>
    </row>
    <row r="146" spans="18:20" x14ac:dyDescent="0.25">
      <c r="R146" s="6">
        <v>93</v>
      </c>
      <c r="S146" s="6">
        <v>10347.152171717171</v>
      </c>
      <c r="T146" s="6">
        <v>-39.252171717171223</v>
      </c>
    </row>
    <row r="147" spans="18:20" x14ac:dyDescent="0.25">
      <c r="R147" s="6">
        <v>94</v>
      </c>
      <c r="S147" s="6">
        <v>10828.122171717168</v>
      </c>
      <c r="T147" s="6">
        <v>-117.22217171716875</v>
      </c>
    </row>
    <row r="148" spans="18:20" x14ac:dyDescent="0.25">
      <c r="R148" s="6">
        <v>95</v>
      </c>
      <c r="S148" s="6">
        <v>10831.28217171717</v>
      </c>
      <c r="T148" s="6">
        <v>-50.582171717169331</v>
      </c>
    </row>
    <row r="149" spans="18:20" x14ac:dyDescent="0.25">
      <c r="R149" s="6">
        <v>96</v>
      </c>
      <c r="S149" s="6">
        <v>12360.802171717169</v>
      </c>
      <c r="T149" s="6">
        <v>191.29782828283169</v>
      </c>
    </row>
    <row r="150" spans="18:20" x14ac:dyDescent="0.25">
      <c r="R150" s="6">
        <v>97</v>
      </c>
      <c r="S150" s="6">
        <v>10892.48904040404</v>
      </c>
      <c r="T150" s="6">
        <v>-179.1890404040405</v>
      </c>
    </row>
    <row r="151" spans="18:20" x14ac:dyDescent="0.25">
      <c r="R151" s="6">
        <v>98</v>
      </c>
      <c r="S151" s="6">
        <v>10076.279040404039</v>
      </c>
      <c r="T151" s="6">
        <v>-243.0790404040381</v>
      </c>
    </row>
    <row r="152" spans="18:20" x14ac:dyDescent="0.25">
      <c r="R152" s="6">
        <v>99</v>
      </c>
      <c r="S152" s="6">
        <v>10974.529040404041</v>
      </c>
      <c r="T152" s="6">
        <v>213.87095959595899</v>
      </c>
    </row>
    <row r="153" spans="18:20" x14ac:dyDescent="0.25">
      <c r="R153" s="6">
        <v>100</v>
      </c>
      <c r="S153" s="6">
        <v>10566.879040404039</v>
      </c>
      <c r="T153" s="6">
        <v>-212.77904040403882</v>
      </c>
    </row>
    <row r="154" spans="18:20" x14ac:dyDescent="0.25">
      <c r="R154" s="6">
        <v>101</v>
      </c>
      <c r="S154" s="6">
        <v>10656.619040404039</v>
      </c>
      <c r="T154" s="6">
        <v>-11.419040404038242</v>
      </c>
    </row>
    <row r="155" spans="18:20" x14ac:dyDescent="0.25">
      <c r="R155" s="6">
        <v>102</v>
      </c>
      <c r="S155" s="6">
        <v>10314.299040404039</v>
      </c>
      <c r="T155" s="6">
        <v>-46.099040404038533</v>
      </c>
    </row>
    <row r="156" spans="18:20" x14ac:dyDescent="0.25">
      <c r="R156" s="6">
        <v>103</v>
      </c>
      <c r="S156" s="6">
        <v>10710.74904040404</v>
      </c>
      <c r="T156" s="6">
        <v>-106.34904040404035</v>
      </c>
    </row>
    <row r="157" spans="18:20" x14ac:dyDescent="0.25">
      <c r="R157" s="6">
        <v>104</v>
      </c>
      <c r="S157" s="6">
        <v>10875.559040404039</v>
      </c>
      <c r="T157" s="6">
        <v>-23.359040404038751</v>
      </c>
    </row>
    <row r="158" spans="18:20" x14ac:dyDescent="0.25">
      <c r="R158" s="6">
        <v>105</v>
      </c>
      <c r="S158" s="6">
        <v>10705.009040404038</v>
      </c>
      <c r="T158" s="6">
        <v>8.7909595959608851</v>
      </c>
    </row>
    <row r="159" spans="18:20" x14ac:dyDescent="0.25">
      <c r="R159" s="6">
        <v>106</v>
      </c>
      <c r="S159" s="6">
        <v>11185.979040404038</v>
      </c>
      <c r="T159" s="6">
        <v>-59.879040404037369</v>
      </c>
    </row>
    <row r="160" spans="18:20" x14ac:dyDescent="0.25">
      <c r="R160" s="6">
        <v>107</v>
      </c>
      <c r="S160" s="6">
        <v>11189.139040404039</v>
      </c>
      <c r="T160" s="6">
        <v>25.560959595961322</v>
      </c>
    </row>
    <row r="161" spans="18:20" x14ac:dyDescent="0.25">
      <c r="R161" s="6">
        <v>108</v>
      </c>
      <c r="S161" s="6">
        <v>12718.659040404038</v>
      </c>
      <c r="T161" s="6">
        <v>318.94095959596234</v>
      </c>
    </row>
    <row r="162" spans="18:20" x14ac:dyDescent="0.25">
      <c r="R162" s="6">
        <v>109</v>
      </c>
      <c r="S162" s="6">
        <v>11250.345909090909</v>
      </c>
      <c r="T162" s="6">
        <v>3.454090909090155</v>
      </c>
    </row>
    <row r="163" spans="18:20" x14ac:dyDescent="0.25">
      <c r="R163" s="6">
        <v>110</v>
      </c>
      <c r="S163" s="6">
        <v>10434.135909090908</v>
      </c>
      <c r="T163" s="6">
        <v>-125.53590909090781</v>
      </c>
    </row>
    <row r="164" spans="18:20" x14ac:dyDescent="0.25">
      <c r="R164" s="6">
        <v>111</v>
      </c>
      <c r="S164" s="6">
        <v>11332.38590909091</v>
      </c>
      <c r="T164" s="6">
        <v>72.714090909090373</v>
      </c>
    </row>
    <row r="165" spans="18:20" x14ac:dyDescent="0.25">
      <c r="R165" s="6">
        <v>112</v>
      </c>
      <c r="S165" s="6">
        <v>10924.735909090909</v>
      </c>
      <c r="T165" s="6">
        <v>40.064090909090737</v>
      </c>
    </row>
    <row r="166" spans="18:20" x14ac:dyDescent="0.25">
      <c r="R166" s="6">
        <v>113</v>
      </c>
      <c r="S166" s="6">
        <v>11014.475909090908</v>
      </c>
      <c r="T166" s="6">
        <v>9.7240909090924106</v>
      </c>
    </row>
    <row r="167" spans="18:20" x14ac:dyDescent="0.25">
      <c r="R167" s="6">
        <v>114</v>
      </c>
      <c r="S167" s="6">
        <v>10672.155909090909</v>
      </c>
      <c r="T167" s="6">
        <v>-84.555909090908244</v>
      </c>
    </row>
    <row r="168" spans="18:20" x14ac:dyDescent="0.25">
      <c r="R168" s="6">
        <v>115</v>
      </c>
      <c r="S168" s="6">
        <v>11068.605909090909</v>
      </c>
      <c r="T168" s="6">
        <v>-118.90590909090861</v>
      </c>
    </row>
    <row r="169" spans="18:20" x14ac:dyDescent="0.25">
      <c r="R169" s="6">
        <v>116</v>
      </c>
      <c r="S169" s="6">
        <v>11233.415909090909</v>
      </c>
      <c r="T169" s="6">
        <v>61.184090909091537</v>
      </c>
    </row>
    <row r="170" spans="18:20" x14ac:dyDescent="0.25">
      <c r="R170" s="6">
        <v>117</v>
      </c>
      <c r="S170" s="6">
        <v>11062.86590909091</v>
      </c>
      <c r="T170" s="6">
        <v>-116.26590909090919</v>
      </c>
    </row>
    <row r="171" spans="18:20" x14ac:dyDescent="0.25">
      <c r="R171" s="6">
        <v>118</v>
      </c>
      <c r="S171" s="6">
        <v>11543.835909090907</v>
      </c>
      <c r="T171" s="6">
        <v>21.564090909092556</v>
      </c>
    </row>
    <row r="172" spans="18:20" x14ac:dyDescent="0.25">
      <c r="R172" s="6">
        <v>119</v>
      </c>
      <c r="S172" s="6">
        <v>11546.995909090909</v>
      </c>
      <c r="T172" s="6">
        <v>96.304090909090519</v>
      </c>
    </row>
    <row r="173" spans="18:20" ht="15.75" thickBot="1" x14ac:dyDescent="0.3">
      <c r="R173" s="7">
        <v>120</v>
      </c>
      <c r="S173" s="7">
        <v>13076.515909090907</v>
      </c>
      <c r="T173" s="7">
        <v>216.18409090909336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F8381F-B2D7-4BAE-AB4B-3401CE4402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703610-F844-469C-AA06-97272AB79D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B8746D-9910-4D1F-AF66-95BAE047CAB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Bryan Johns</cp:lastModifiedBy>
  <dcterms:created xsi:type="dcterms:W3CDTF">2020-07-29T23:57:35Z</dcterms:created>
  <dcterms:modified xsi:type="dcterms:W3CDTF">2025-12-22T21:53:51Z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